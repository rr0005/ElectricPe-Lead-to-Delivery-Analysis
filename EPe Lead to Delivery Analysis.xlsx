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R:\RITIK\1BIT-MESRA\Placement\PROJECTS\ElectricPe Analysis\"/>
    </mc:Choice>
  </mc:AlternateContent>
  <xr:revisionPtr revIDLastSave="0" documentId="13_ncr:1_{D21FC0F6-BB1A-48F1-8806-FB9EB71AEC28}" xr6:coauthVersionLast="47" xr6:coauthVersionMax="47" xr10:uidLastSave="{00000000-0000-0000-0000-000000000000}"/>
  <workbookProtection lockStructure="1"/>
  <bookViews>
    <workbookView xWindow="-108" yWindow="-108" windowWidth="23256" windowHeight="12456" tabRatio="839" xr2:uid="{77CB8BA3-75CE-44D3-9D3F-A91C15C6DDC8}"/>
  </bookViews>
  <sheets>
    <sheet name="DASHBOARD" sheetId="16" r:id="rId1"/>
    <sheet name="RawData" sheetId="1" r:id="rId2"/>
    <sheet name="FunnelAnalysis" sheetId="8" r:id="rId3"/>
    <sheet name="StoreAnalysis" sheetId="9" r:id="rId4"/>
    <sheet name="LeadTypeAnalysis" sheetId="10" r:id="rId5"/>
    <sheet name="TATAnalysis" sheetId="11" r:id="rId6"/>
    <sheet name="CancellationAnalysis" sheetId="12" r:id="rId7"/>
    <sheet name="Customer Rating" sheetId="13" r:id="rId8"/>
  </sheets>
  <definedNames>
    <definedName name="_xlchart.v2.0" hidden="1">FunnelAnalysis!$A$5:$A$8</definedName>
    <definedName name="_xlchart.v2.1" hidden="1">FunnelAnalysis!$B$4</definedName>
    <definedName name="_xlchart.v2.2" hidden="1">FunnelAnalysis!$B$5:$B$8</definedName>
    <definedName name="_xlchart.v2.3" hidden="1">FunnelAnalysis!$A$5:$A$8</definedName>
    <definedName name="_xlchart.v2.4" hidden="1">FunnelAnalysis!$B$4</definedName>
    <definedName name="_xlchart.v2.5" hidden="1">FunnelAnalysis!$B$5:$B$8</definedName>
    <definedName name="_xlchart.v2.6" hidden="1">FunnelAnalysis!$C$4</definedName>
    <definedName name="_xlchart.v2.7" hidden="1">FunnelAnalysis!$C$5:$C$8</definedName>
    <definedName name="Slicer_Lead_Type">#N/A</definedName>
    <definedName name="Slicer_Steps">#N/A</definedName>
    <definedName name="Slicer_Store_Nam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4" i="16" l="1"/>
  <c r="H24" i="16"/>
  <c r="F24" i="16"/>
  <c r="E24" i="16"/>
  <c r="E22" i="9"/>
  <c r="E23" i="9"/>
  <c r="E24" i="9"/>
  <c r="E21" i="9"/>
  <c r="O24" i="9"/>
  <c r="A14" i="9"/>
  <c r="A21" i="9" s="1"/>
  <c r="A15" i="9"/>
  <c r="A16" i="9"/>
  <c r="A17" i="9"/>
  <c r="G14" i="9"/>
  <c r="G15" i="9"/>
  <c r="G16" i="9"/>
  <c r="G17" i="9"/>
  <c r="F14" i="9"/>
  <c r="F15" i="9"/>
  <c r="F16" i="9"/>
  <c r="F17" i="9"/>
  <c r="E14" i="9"/>
  <c r="E15" i="9"/>
  <c r="E16" i="9"/>
  <c r="E17" i="9"/>
  <c r="D14" i="9"/>
  <c r="D15" i="9"/>
  <c r="D16" i="9"/>
  <c r="D17" i="9"/>
  <c r="C14" i="9"/>
  <c r="C15" i="9"/>
  <c r="C16" i="9"/>
  <c r="C17" i="9"/>
  <c r="B14" i="9"/>
  <c r="B15" i="9"/>
  <c r="B16" i="9"/>
  <c r="B17" i="9"/>
  <c r="D7" i="8"/>
  <c r="D8" i="8"/>
  <c r="C7" i="8"/>
  <c r="C8" i="8"/>
  <c r="C6" i="8"/>
  <c r="D6" i="8"/>
  <c r="B10" i="11"/>
  <c r="I24" i="16" s="1"/>
  <c r="A11" i="10" a="1"/>
  <c r="A11" i="10" s="1"/>
  <c r="A20" i="9"/>
  <c r="O22" i="9"/>
  <c r="O23" i="9"/>
  <c r="G24" i="16"/>
  <c r="A24" i="9" l="1"/>
  <c r="A23" i="9"/>
  <c r="A22" i="9"/>
  <c r="H14" i="9"/>
  <c r="H17" i="9"/>
  <c r="I14" i="9"/>
  <c r="H15" i="9"/>
  <c r="I17" i="9"/>
  <c r="H16" i="9"/>
  <c r="I16" i="9"/>
  <c r="I1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<sst xmlns="http://schemas.openxmlformats.org/spreadsheetml/2006/main" count="4416" uniqueCount="1080">
  <si>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</si>
  <si>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</si>
  <si>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</si>
  <si>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</si>
  <si>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</si>
  <si>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</si>
  <si>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</si>
  <si>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</si>
  <si>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</si>
  <si>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</si>
  <si>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</si>
  <si>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</si>
  <si>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</si>
  <si>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</si>
  <si>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</si>
  <si>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</si>
  <si>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</si>
  <si>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</si>
  <si>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</si>
  <si>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</si>
  <si>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</si>
  <si>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</si>
  <si>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</si>
  <si>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</si>
  <si>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</si>
  <si>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</si>
  <si>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</si>
  <si>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</si>
  <si>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</si>
  <si>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</si>
  <si>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</si>
  <si>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</si>
  <si>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</si>
  <si>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</si>
  <si>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</si>
  <si>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</si>
  <si>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</si>
  <si>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</si>
  <si>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</si>
  <si>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</si>
  <si>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</si>
  <si>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</si>
  <si>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</si>
  <si>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</si>
  <si>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</si>
  <si>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</si>
  <si>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</si>
  <si>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</si>
  <si>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</si>
  <si>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</si>
  <si>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</si>
  <si>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</si>
  <si>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</si>
  <si>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</si>
  <si>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</si>
  <si>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</si>
  <si>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</si>
  <si>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</si>
  <si>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</si>
  <si>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</si>
  <si>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</si>
  <si>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</si>
  <si>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</si>
  <si>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</si>
  <si>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</si>
  <si>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</si>
  <si>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</si>
  <si>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</si>
  <si>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</si>
  <si>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</si>
  <si>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</si>
  <si>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</si>
  <si>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</si>
  <si>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</si>
  <si>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</si>
  <si>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</si>
  <si>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</si>
  <si>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</si>
  <si>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</si>
  <si>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</si>
  <si>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</si>
  <si>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</si>
  <si>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</si>
  <si>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</si>
  <si>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</si>
  <si>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</si>
  <si>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</si>
  <si>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</si>
  <si>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</si>
  <si>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</si>
  <si>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</si>
  <si>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</si>
  <si>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</si>
  <si>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</si>
  <si>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</si>
  <si>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</si>
  <si>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</si>
  <si>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</si>
  <si>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</si>
  <si>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</si>
  <si>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</si>
  <si>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</si>
  <si>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</si>
  <si>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</si>
  <si>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</si>
  <si>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</si>
  <si>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</si>
  <si>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</si>
  <si>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</si>
  <si>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</si>
  <si>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</si>
  <si>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</si>
  <si>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</si>
  <si>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</si>
  <si>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</si>
  <si>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</si>
  <si>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</si>
  <si>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</si>
  <si>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</si>
  <si>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</si>
  <si>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</si>
  <si>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</si>
  <si>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</si>
  <si>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</si>
  <si>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</si>
  <si>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</si>
  <si>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</si>
  <si>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</si>
  <si>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</si>
  <si>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</si>
  <si>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</si>
  <si>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</si>
  <si>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</si>
  <si>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</si>
  <si>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</si>
  <si>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</si>
  <si>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</si>
  <si>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</si>
  <si>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</si>
  <si>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</si>
  <si>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</si>
  <si>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</si>
  <si>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</si>
  <si>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</si>
  <si>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</si>
  <si>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</si>
  <si>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</si>
  <si>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</si>
  <si>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</si>
  <si>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</si>
  <si>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</si>
  <si>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</si>
  <si>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</si>
  <si>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</si>
  <si>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</si>
  <si>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</si>
  <si>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</si>
  <si>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</si>
  <si>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</si>
  <si>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</si>
  <si>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</si>
  <si>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</si>
  <si>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</si>
  <si>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</si>
  <si>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</si>
  <si>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</si>
  <si>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</si>
  <si>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</si>
  <si>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</si>
  <si>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</si>
  <si>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</si>
  <si>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</si>
  <si>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</si>
  <si>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</si>
  <si>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</si>
  <si>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</si>
  <si>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</si>
  <si>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</si>
  <si>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</si>
  <si>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</si>
  <si>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</si>
  <si>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</si>
  <si>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</si>
  <si>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</si>
  <si>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</si>
  <si>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</si>
  <si>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</si>
  <si>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</si>
  <si>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</si>
  <si>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</si>
  <si>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</si>
  <si>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</si>
  <si>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</si>
  <si>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</si>
  <si>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</si>
  <si>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</si>
  <si>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</si>
  <si>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</si>
  <si>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</si>
  <si>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</si>
  <si>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</si>
  <si>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</si>
  <si>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</si>
  <si>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</si>
  <si>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</si>
  <si>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</si>
  <si>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</si>
  <si>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</si>
  <si>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</si>
  <si>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</si>
  <si>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</si>
  <si>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</si>
  <si>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</si>
  <si>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</si>
  <si>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</si>
  <si>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</si>
  <si>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</si>
  <si>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</si>
  <si>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</si>
  <si>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</si>
  <si>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</si>
  <si>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</si>
  <si>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</si>
  <si>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</si>
  <si>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</si>
  <si>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</si>
  <si>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</si>
  <si>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</si>
  <si>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</si>
  <si>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</si>
  <si>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</si>
  <si>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</si>
  <si>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</si>
  <si>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</si>
  <si>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</si>
  <si>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</si>
  <si>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</si>
  <si>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</si>
  <si>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</si>
  <si>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</si>
  <si>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</si>
  <si>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</si>
  <si>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</si>
  <si>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</si>
  <si>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</si>
  <si>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</si>
  <si>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</si>
  <si>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</si>
  <si>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</si>
  <si>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</si>
  <si>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</si>
  <si>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</si>
  <si>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</si>
  <si>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</si>
  <si>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</si>
  <si>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</si>
  <si>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</si>
  <si>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</si>
  <si>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</si>
  <si>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</si>
  <si>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</si>
  <si>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</si>
  <si>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</si>
  <si>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</si>
  <si>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</si>
  <si>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</si>
  <si>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</si>
  <si>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</si>
  <si>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</si>
  <si>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</si>
  <si>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</si>
  <si>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</si>
  <si>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</si>
  <si>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</si>
  <si>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</si>
  <si>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</si>
  <si>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</si>
  <si>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</si>
  <si>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</si>
  <si>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</si>
  <si>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</si>
  <si>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</si>
  <si>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</si>
  <si>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</si>
  <si>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</si>
  <si>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</si>
  <si>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</si>
  <si>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</si>
  <si>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</si>
  <si>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</si>
  <si>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</si>
  <si>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</si>
  <si>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</si>
  <si>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</si>
  <si>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</si>
  <si>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</si>
  <si>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</si>
  <si>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</si>
  <si>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</si>
  <si>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</si>
  <si>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</si>
  <si>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</si>
  <si>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</si>
  <si>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</si>
  <si>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</si>
  <si>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</si>
  <si>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</si>
  <si>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</si>
  <si>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</si>
  <si>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</si>
  <si>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</si>
  <si>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</si>
  <si>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</si>
  <si>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</si>
  <si>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</si>
  <si>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</si>
  <si>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</si>
  <si>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</si>
  <si>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</si>
  <si>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</si>
  <si>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</si>
  <si>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</si>
  <si>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</si>
  <si>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</si>
  <si>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</si>
  <si>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</si>
  <si>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</si>
  <si>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</si>
  <si>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</si>
  <si>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</si>
  <si>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</si>
  <si>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</si>
  <si>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</si>
  <si>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</si>
  <si>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</si>
  <si>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</si>
  <si>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</si>
  <si>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</si>
  <si>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</si>
  <si>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</si>
  <si>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</si>
  <si>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</si>
  <si>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</si>
  <si>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</si>
  <si>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</si>
  <si>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</si>
  <si>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</si>
  <si>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</si>
  <si>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</si>
  <si>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</si>
  <si>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</si>
  <si>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</si>
  <si>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</si>
  <si>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</si>
  <si>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</si>
  <si>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</si>
  <si>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</si>
  <si>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</si>
  <si>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</si>
  <si>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</si>
  <si>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</si>
  <si>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</si>
  <si>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</si>
  <si>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</si>
  <si>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</si>
  <si>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</si>
  <si>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</si>
  <si>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</si>
  <si>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</si>
  <si>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</si>
  <si>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</si>
  <si>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</si>
  <si>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</si>
  <si>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</si>
  <si>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</si>
  <si>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</si>
  <si>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</si>
  <si>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</si>
  <si>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</si>
  <si>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</si>
  <si>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</si>
  <si>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</si>
  <si>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</si>
  <si>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</si>
  <si>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</si>
  <si>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</si>
  <si>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</si>
  <si>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</si>
  <si>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</si>
  <si>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</si>
  <si>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</si>
  <si>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</si>
  <si>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</si>
  <si>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</si>
  <si>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</si>
  <si>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</si>
  <si>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</si>
  <si>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</si>
  <si>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</si>
  <si>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</si>
  <si>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</si>
  <si>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</si>
  <si>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</si>
  <si>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</si>
  <si>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</si>
  <si>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</si>
  <si>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</si>
  <si>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</si>
  <si>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</si>
  <si>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</si>
  <si>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</si>
  <si>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</si>
  <si>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</si>
  <si>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</si>
  <si>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</si>
  <si>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</si>
  <si>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</si>
  <si>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</si>
  <si>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</si>
  <si>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</si>
  <si>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</si>
  <si>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</si>
  <si>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</si>
  <si>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</si>
  <si>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</si>
  <si>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</si>
  <si>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</si>
  <si>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</si>
  <si>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</si>
  <si>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</si>
  <si>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</si>
  <si>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</si>
  <si>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</si>
  <si>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</si>
  <si>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</si>
  <si>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</si>
  <si>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</si>
  <si>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</si>
  <si>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</si>
  <si>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</si>
  <si>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</si>
  <si>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</si>
  <si>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</si>
  <si>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</si>
  <si>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</si>
  <si>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</si>
  <si>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</si>
  <si>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</si>
  <si>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</si>
  <si>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</si>
  <si>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</si>
  <si>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</si>
  <si>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</si>
  <si>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</si>
  <si>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</si>
  <si>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</si>
  <si>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</si>
  <si>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</si>
  <si>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</si>
  <si>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</si>
  <si>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</si>
  <si>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</si>
  <si>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</si>
  <si>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</si>
  <si>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</si>
  <si>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</si>
  <si>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</si>
  <si>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</si>
  <si>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</si>
  <si>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</si>
  <si>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</si>
  <si>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</si>
  <si>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</si>
  <si>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</si>
  <si>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</si>
  <si>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</si>
  <si>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</si>
  <si>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</si>
  <si>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</si>
  <si>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</si>
  <si>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</si>
  <si>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</si>
  <si>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</si>
  <si>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</si>
  <si>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</si>
  <si>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</si>
  <si>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</si>
  <si>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</si>
  <si>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</si>
  <si>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</si>
  <si>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</si>
  <si>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</si>
  <si>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</si>
  <si>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</si>
  <si>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</si>
  <si>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</si>
  <si>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</si>
  <si>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</si>
  <si>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</si>
  <si>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</si>
  <si>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</si>
  <si>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</si>
  <si>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</si>
  <si>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</si>
  <si>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</si>
  <si>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</si>
  <si>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</si>
  <si>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</si>
  <si>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</si>
  <si>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</si>
  <si>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</si>
  <si>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</si>
  <si>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</si>
  <si>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</si>
  <si>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</si>
  <si>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</si>
  <si>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</si>
  <si>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</si>
  <si>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</si>
  <si>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</si>
  <si>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</si>
  <si>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</si>
  <si>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</si>
  <si>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</si>
  <si>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</si>
  <si>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</si>
  <si>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</si>
  <si>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</si>
  <si>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</si>
  <si>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</si>
  <si>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</si>
  <si>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</si>
  <si>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</si>
  <si>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</si>
  <si>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</si>
  <si>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</si>
  <si>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</si>
  <si>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</si>
  <si>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</si>
  <si>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</si>
  <si>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</si>
  <si>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</si>
  <si>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</si>
  <si>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</si>
  <si>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</si>
  <si>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</si>
  <si>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</si>
  <si>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</si>
  <si>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</si>
  <si>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</si>
  <si>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</si>
  <si>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</si>
  <si>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</si>
  <si>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</si>
  <si>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</si>
  <si>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</si>
  <si>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</si>
  <si>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</si>
  <si>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</si>
  <si>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</si>
  <si>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</si>
  <si>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</si>
  <si>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</si>
  <si>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</si>
  <si>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</si>
  <si>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</si>
  <si>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</si>
  <si>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</si>
  <si>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</si>
  <si>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</si>
  <si>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</si>
  <si>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</si>
  <si>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</si>
  <si>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</si>
  <si>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</si>
  <si>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</si>
  <si>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</si>
  <si>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</si>
  <si>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</si>
  <si>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</si>
  <si>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</si>
  <si>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</si>
  <si>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</si>
  <si>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</si>
  <si>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</si>
  <si>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</si>
  <si>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</si>
  <si>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</si>
  <si>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</si>
  <si>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</si>
  <si>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</si>
  <si>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</si>
  <si>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</si>
  <si>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</si>
  <si>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</si>
  <si>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</si>
  <si>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</si>
  <si>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</si>
  <si>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</si>
  <si>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</si>
  <si>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</si>
  <si>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</si>
  <si>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</si>
  <si>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</si>
  <si>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</si>
  <si>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</si>
  <si>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</si>
  <si>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</si>
  <si>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</si>
  <si>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</si>
  <si>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</si>
  <si>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</si>
  <si>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</si>
  <si>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</si>
  <si>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</si>
  <si>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</si>
  <si>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</si>
  <si>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</si>
  <si>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</si>
  <si>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</si>
  <si>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</si>
  <si>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</si>
  <si>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</si>
  <si>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</si>
  <si>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</si>
  <si>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</si>
  <si>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</si>
  <si>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</si>
  <si>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</si>
  <si>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</si>
  <si>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</si>
  <si>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</si>
  <si>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</si>
  <si>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</si>
  <si>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</si>
  <si>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</si>
  <si>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</si>
  <si>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</si>
  <si>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</si>
  <si>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</si>
  <si>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</si>
  <si>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</si>
  <si>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</si>
  <si>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</si>
  <si>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</si>
  <si>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</si>
  <si>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</si>
  <si>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</si>
  <si>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</si>
  <si>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</si>
  <si>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</si>
  <si>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</si>
  <si>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</si>
  <si>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</si>
  <si>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</si>
  <si>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</si>
  <si>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</si>
  <si>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</si>
  <si>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</si>
  <si>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</si>
  <si>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</si>
  <si>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</si>
  <si>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</si>
  <si>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</si>
  <si>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</si>
  <si>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</si>
  <si>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</si>
  <si>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</si>
  <si>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</si>
  <si>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</si>
  <si>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</si>
  <si>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</si>
  <si>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</si>
  <si>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</si>
  <si>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</si>
  <si>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</si>
  <si>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</si>
  <si>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</si>
  <si>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</si>
  <si>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</si>
  <si>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</si>
  <si>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</si>
  <si>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</si>
  <si>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</si>
  <si>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</si>
  <si>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</si>
  <si>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</si>
  <si>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</si>
  <si>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</si>
  <si>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</si>
  <si>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</si>
  <si>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</si>
  <si>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</si>
  <si>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</si>
  <si>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</si>
  <si>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</si>
  <si>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</si>
  <si>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</si>
  <si>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</si>
  <si>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</si>
  <si>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</si>
  <si>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</si>
  <si>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</si>
  <si>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</si>
  <si>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</si>
  <si>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</si>
  <si>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</si>
  <si>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</si>
  <si>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</si>
  <si>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</si>
  <si>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</si>
  <si>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</si>
  <si>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</si>
  <si>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</si>
  <si>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</si>
  <si>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</si>
  <si>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</si>
  <si>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</si>
  <si>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</si>
  <si>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</si>
  <si>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</si>
  <si>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</si>
  <si>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</si>
  <si>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</si>
  <si>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</si>
  <si>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</si>
  <si>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</si>
  <si>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</si>
  <si>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</si>
  <si>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</si>
  <si>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</si>
  <si>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</si>
  <si>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</si>
  <si>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</si>
  <si>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</si>
  <si>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</si>
  <si>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</si>
  <si>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</si>
  <si>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</si>
  <si>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</si>
  <si>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</si>
  <si>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</si>
  <si>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</si>
  <si>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</si>
  <si>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</si>
  <si>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</si>
  <si>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</si>
  <si>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</si>
  <si>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</si>
  <si>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</si>
  <si>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</si>
  <si>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</si>
  <si>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</si>
  <si>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</si>
  <si>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</si>
  <si>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</si>
  <si>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</si>
  <si>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</si>
  <si>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</si>
  <si>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</si>
  <si>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</si>
  <si>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</si>
  <si>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</si>
  <si>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</si>
  <si>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</si>
  <si>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</si>
  <si>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</si>
  <si>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</si>
  <si>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</si>
  <si>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</si>
  <si>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</si>
  <si>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</si>
  <si>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</si>
  <si>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</si>
  <si>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</si>
  <si>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</si>
  <si>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</si>
  <si>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</si>
  <si>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</si>
  <si>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</si>
  <si>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</si>
  <si>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</si>
  <si>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</si>
  <si>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</si>
  <si>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</si>
  <si>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</si>
  <si>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</si>
  <si>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</si>
  <si>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</si>
  <si>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</si>
  <si>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</si>
  <si>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</si>
  <si>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</si>
  <si>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</si>
  <si>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</si>
  <si>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</si>
  <si>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</si>
  <si>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</si>
  <si>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</si>
  <si>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</si>
  <si>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</si>
  <si>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</si>
  <si>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</si>
  <si>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</si>
  <si>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</si>
  <si>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</si>
  <si>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</si>
  <si>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</si>
  <si>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</si>
  <si>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</si>
  <si>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</si>
  <si>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</si>
  <si>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</si>
  <si>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</si>
  <si>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</si>
  <si>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</si>
  <si>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</si>
  <si>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</si>
  <si>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</si>
  <si>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</si>
  <si>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</si>
  <si>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</si>
  <si>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</si>
  <si>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</si>
  <si>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</si>
  <si>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</si>
  <si>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</si>
  <si>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</si>
  <si>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</si>
  <si>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</si>
  <si>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</si>
  <si>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</si>
  <si>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</si>
  <si>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</si>
  <si>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</si>
  <si>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</si>
  <si>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</si>
  <si>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</si>
  <si>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</si>
  <si>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</si>
  <si>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</si>
  <si>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</si>
  <si>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</si>
  <si>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</si>
  <si>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</si>
  <si>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</si>
  <si>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</si>
  <si>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</si>
  <si>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</si>
  <si>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</si>
  <si>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</si>
  <si>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</si>
  <si>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</si>
  <si>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</si>
  <si>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</si>
  <si>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</si>
  <si>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</si>
  <si>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</si>
  <si>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</si>
  <si>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</si>
  <si>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</si>
  <si>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</si>
  <si>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</si>
  <si>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</si>
  <si>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</si>
  <si>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</si>
  <si>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</si>
  <si>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</si>
  <si>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</si>
  <si>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</si>
  <si>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</si>
  <si>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</si>
  <si>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</si>
  <si>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</si>
  <si>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</si>
  <si>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</si>
  <si>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</si>
  <si>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</si>
  <si>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</si>
  <si>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</si>
  <si>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</si>
  <si>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</si>
  <si>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</si>
  <si>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</si>
  <si>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</si>
  <si>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</si>
  <si>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</si>
  <si>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</si>
  <si>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</si>
  <si>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</si>
  <si>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</si>
  <si>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</si>
  <si>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</si>
  <si>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</si>
  <si>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</si>
  <si>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</si>
  <si>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</si>
  <si>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</si>
  <si>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</si>
  <si>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</si>
  <si>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</si>
  <si>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</si>
  <si>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</si>
  <si>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</si>
  <si>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</si>
  <si>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</si>
  <si>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</si>
  <si>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</si>
  <si>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</si>
  <si>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</si>
  <si>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</si>
  <si>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</si>
  <si>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</si>
  <si>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</si>
  <si>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</si>
  <si>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</si>
  <si>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</si>
  <si>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</si>
  <si>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</si>
  <si>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</si>
  <si>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</si>
  <si>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</si>
  <si>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</si>
  <si>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</si>
  <si>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</si>
  <si>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</si>
  <si>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</si>
  <si>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</si>
  <si>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</si>
  <si>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</si>
  <si>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</si>
  <si>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</si>
  <si>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</si>
  <si>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</si>
  <si>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</si>
  <si>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</si>
  <si>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</si>
  <si>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</si>
  <si>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</si>
  <si>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</si>
  <si>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</si>
  <si>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</si>
  <si>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</si>
  <si>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</si>
  <si>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</si>
  <si>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</si>
  <si>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</si>
  <si>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</si>
  <si>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</si>
  <si>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</si>
  <si>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</si>
  <si>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</si>
  <si>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</si>
  <si>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</si>
  <si>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</si>
  <si>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</si>
  <si>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</si>
  <si>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</si>
  <si>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</si>
  <si>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</si>
  <si>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</si>
  <si>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</si>
  <si>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</si>
  <si>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</si>
  <si>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</si>
  <si>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</si>
  <si>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</si>
  <si>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</si>
  <si>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</si>
  <si>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</si>
  <si>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</si>
  <si>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</si>
  <si>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</si>
  <si>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</si>
  <si>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</si>
  <si>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</si>
  <si>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</si>
  <si>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</si>
  <si>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</si>
  <si>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</si>
  <si>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</si>
  <si>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</si>
  <si>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</si>
  <si>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</si>
  <si>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</si>
  <si>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</si>
  <si>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</si>
  <si>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</si>
  <si>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</si>
  <si>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</si>
  <si>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</si>
  <si>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</si>
  <si>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</si>
  <si>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</si>
  <si>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</si>
  <si>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</si>
  <si>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</si>
  <si>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</si>
  <si>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</si>
  <si>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</si>
  <si>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</si>
  <si>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</si>
  <si>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</si>
  <si>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</si>
  <si>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</si>
  <si>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</si>
  <si>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</si>
  <si>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</si>
  <si>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</si>
  <si>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</si>
  <si>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</si>
  <si>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</si>
  <si>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</si>
  <si>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</si>
  <si>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</si>
  <si>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</si>
  <si>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</si>
  <si>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</si>
  <si>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</si>
  <si>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</si>
  <si>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</si>
  <si>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</si>
  <si>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</si>
  <si>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</si>
  <si>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</si>
  <si>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</si>
  <si>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</si>
  <si>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</si>
  <si>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Row Labels</t>
  </si>
  <si>
    <t>Count of Lead ID</t>
  </si>
  <si>
    <t>Grand Total</t>
  </si>
  <si>
    <t>Column Labels</t>
  </si>
  <si>
    <t>(blank)</t>
  </si>
  <si>
    <t>Count of Cancellation Reason</t>
  </si>
  <si>
    <t>Count of Lead Type</t>
  </si>
  <si>
    <t>Steps</t>
  </si>
  <si>
    <t>Lead Generation</t>
  </si>
  <si>
    <t>Pre-Booking</t>
  </si>
  <si>
    <t xml:space="preserve">Booking </t>
  </si>
  <si>
    <t>Delivery</t>
  </si>
  <si>
    <t>Total Count</t>
  </si>
  <si>
    <t>% Conversion</t>
  </si>
  <si>
    <t>% Drop-off</t>
  </si>
  <si>
    <t>Count of Pre-Booking Date</t>
  </si>
  <si>
    <t>Count of Booking Date</t>
  </si>
  <si>
    <t>Count of Delivery Date</t>
  </si>
  <si>
    <t>(All)</t>
  </si>
  <si>
    <t>Lead-to-Delivery FUNNEL ANALYSIS</t>
  </si>
  <si>
    <t>Sum of Customer Rating</t>
  </si>
  <si>
    <t>Cancellation</t>
  </si>
  <si>
    <t>Booking</t>
  </si>
  <si>
    <t>Total Leads</t>
  </si>
  <si>
    <t>Avg Rating</t>
  </si>
  <si>
    <t>% Cancellation</t>
  </si>
  <si>
    <t>Pre-Bookings</t>
  </si>
  <si>
    <t>STORE ANALYSIS</t>
  </si>
  <si>
    <t>Promotors</t>
  </si>
  <si>
    <t>Demotors</t>
  </si>
  <si>
    <t>NPS Score</t>
  </si>
  <si>
    <t>LEAD TYPE PERFORMANCE</t>
  </si>
  <si>
    <t>Cancellations</t>
  </si>
  <si>
    <t>Deliveries</t>
  </si>
  <si>
    <t>Bookings</t>
  </si>
  <si>
    <t>Leads</t>
  </si>
  <si>
    <t>LEAD TYPE DISTRIBUTION BY STORE</t>
  </si>
  <si>
    <t>TOTAL TURNAROUND TIME (TAT) ANALYSIS</t>
  </si>
  <si>
    <t>Avg TAT Pre-Bookings</t>
  </si>
  <si>
    <t>Avg TAT Booking</t>
  </si>
  <si>
    <t>Avg TAT Delivery</t>
  </si>
  <si>
    <t>Total TAT</t>
  </si>
  <si>
    <t>CANCELLATION ANALYSIS</t>
  </si>
  <si>
    <t>Avg Customer Rating</t>
  </si>
  <si>
    <t>Count of Customer Rating</t>
  </si>
  <si>
    <t>Passives</t>
  </si>
  <si>
    <t xml:space="preserve"> </t>
  </si>
  <si>
    <t>Conversion Rate</t>
  </si>
  <si>
    <t>Cancellation Rate</t>
  </si>
  <si>
    <t>Avg. Customer Rating</t>
  </si>
  <si>
    <t>Avg. Total TAT</t>
  </si>
  <si>
    <t>Avg.NPS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</si>
</sst>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0"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8"/>
      <color theme="1"/>
      <name val="Gill Sans MT"/>
      <family val="2"/>
      <scheme val="minor"/>
    </font>
    <font>
      <b/>
      <sz val="9"/>
      <color theme="1"/>
      <name val="Gill Sans MT"/>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79998168889431442"/>
        <bgColor theme="4" tint="0.79998168889431442"/>
      </patternFill>
    </fill>
    <fill>
      <patternFill patternType="solid">
        <fgColor theme="0"/>
        <bgColor theme="4" tint="0.79998168889431442"/>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0" borderId="0" xfId="0" applyAlignment="1">
      <alignment wrapText="1"/>
    </xf>
    <xf numFmtId="0" fontId="0" fillId="0" borderId="0" xfId="0" applyAlignment="1">
      <alignment vertical="center" wrapText="1"/>
    </xf>
    <xf numFmtId="0" fontId="0" fillId="0" borderId="0" xfId="0" pivotButton="1"/>
    <xf numFmtId="0" fontId="0" fillId="0" borderId="0" xfId="0" applyAlignment="1">
      <alignment horizontal="left"/>
    </xf>
    <xf numFmtId="1" fontId="0" fillId="0" borderId="0" xfId="0" applyNumberFormat="1" applyAlignment="1">
      <alignment vertical="center" wrapText="1"/>
    </xf>
    <xf numFmtId="1" fontId="0" fillId="0" borderId="0" xfId="0" applyNumberFormat="1"/>
    <xf numFmtId="164" fontId="0" fillId="0" borderId="0" xfId="0" applyNumberFormat="1"/>
    <xf numFmtId="2" fontId="0" fillId="0" borderId="0" xfId="0" applyNumberFormat="1"/>
    <xf numFmtId="0" fontId="16" fillId="34" borderId="10" xfId="0" applyFont="1" applyFill="1" applyBorder="1"/>
    <xf numFmtId="0" fontId="16" fillId="35" borderId="10" xfId="0" applyFont="1" applyFill="1" applyBorder="1"/>
    <xf numFmtId="0" fontId="16" fillId="35" borderId="11" xfId="0" applyFont="1" applyFill="1" applyBorder="1"/>
    <xf numFmtId="0" fontId="0" fillId="36" borderId="0" xfId="0" applyFill="1"/>
    <xf numFmtId="0" fontId="16" fillId="37" borderId="10" xfId="0" applyFont="1" applyFill="1" applyBorder="1"/>
    <xf numFmtId="0" fontId="0" fillId="36" borderId="0" xfId="0" applyFill="1" applyAlignment="1">
      <alignment horizontal="left"/>
    </xf>
    <xf numFmtId="2" fontId="16" fillId="0" borderId="0" xfId="0" applyNumberFormat="1" applyFont="1"/>
    <xf numFmtId="0" fontId="18" fillId="38" borderId="0" xfId="0" applyFont="1" applyFill="1" applyAlignment="1">
      <alignment vertical="center" wrapText="1"/>
    </xf>
    <xf numFmtId="0" fontId="18" fillId="0" borderId="0" xfId="0" applyFont="1" applyAlignment="1">
      <alignment vertical="center" wrapText="1"/>
    </xf>
    <xf numFmtId="0" fontId="19" fillId="0" borderId="11" xfId="0" applyFont="1" applyBorder="1" applyAlignment="1">
      <alignment horizontal="center" vertical="center" wrapText="1"/>
    </xf>
    <xf numFmtId="0" fontId="0" fillId="0" borderId="11" xfId="0" applyBorder="1" applyAlignment="1">
      <alignment wrapText="1"/>
    </xf>
    <xf numFmtId="2" fontId="0" fillId="0" borderId="11" xfId="0" applyNumberFormat="1" applyBorder="1" applyAlignment="1">
      <alignment wrapText="1"/>
    </xf>
    <xf numFmtId="0" fontId="16" fillId="34" borderId="10" xfId="0" applyFont="1" applyFill="1" applyBorder="1" applyAlignment="1">
      <alignment wrapText="1"/>
    </xf>
    <xf numFmtId="0" fontId="18" fillId="33" borderId="0" xfId="0" applyFont="1" applyFill="1" applyAlignment="1">
      <alignment horizontal="center" vertical="center" wrapText="1"/>
    </xf>
    <xf numFmtId="0" fontId="0" fillId="33" borderId="0" xfId="0"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2" formatCode="0.00"/>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theme="4" tint="0.39997558519241921"/>
        </bottom>
      </border>
    </dxf>
    <dxf>
      <font>
        <b/>
        <i val="0"/>
        <strike val="0"/>
        <condense val="0"/>
        <extend val="0"/>
        <outline val="0"/>
        <shadow val="0"/>
        <u val="none"/>
        <vertAlign val="baseline"/>
        <sz val="11"/>
        <color theme="1"/>
        <name val="Gill Sans MT"/>
        <family val="2"/>
        <scheme val="minor"/>
      </font>
      <fill>
        <patternFill patternType="solid">
          <fgColor theme="4" tint="0.79998168889431442"/>
          <bgColor theme="7" tint="0.79998168889431442"/>
        </patternFill>
      </fill>
    </dxf>
    <dxf>
      <numFmt numFmtId="2" formatCode="0.00"/>
    </dxf>
    <dxf>
      <numFmt numFmtId="2" formatCode="0.00"/>
    </dxf>
    <dxf>
      <numFmt numFmtId="1" formatCode="0"/>
    </dxf>
    <dxf>
      <numFmt numFmtId="1" formatCode="0"/>
    </dxf>
    <dxf>
      <numFmt numFmtId="1" formatCode="0"/>
    </dxf>
    <dxf>
      <numFmt numFmtId="1" formatCode="0"/>
    </dxf>
    <dxf>
      <numFmt numFmtId="19" formatCode="dd/mm/yyyy"/>
    </dxf>
    <dxf>
      <alignment horizontal="general" vertical="bottom" textRotation="0" wrapText="1" indent="0" justifyLastLine="0" shrinkToFit="0" readingOrder="0"/>
    </dxf>
    <dxf>
      <numFmt numFmtId="19" formatCode="dd/mm/yyyy"/>
    </dxf>
    <dxf>
      <numFmt numFmtId="19" formatCode="dd/mm/yyyy"/>
    </dxf>
    <dxf>
      <numFmt numFmtId="19" formatCode="dd/mm/yyyy"/>
    </dxf>
    <dxf>
      <numFmt numFmtId="19" formatCode="dd/mm/yyyy"/>
    </dxf>
    <dxf>
      <alignment horizontal="general" vertical="bottom" textRotation="0" wrapText="1" indent="0" justifyLastLine="0" shrinkToFit="0" readingOrder="0"/>
    </dxf>
  </dxfs>
  <tableStyles count="1" defaultTableStyle="TableStyleMedium2" defaultPivotStyle="PivotStyleLight16">
    <tableStyle name="Slicer Style 1" pivot="0" table="0" count="0" xr9:uid="{1D1F3DBE-CDCC-4C00-999B-F65A942246A8}"/>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Analysis.xlsx]TATAnalysis!PivotTable11</c:name>
    <c:fmtId val="19"/>
  </c:pivotSource>
  <c:chart>
    <c:title>
      <c:tx>
        <c:rich>
          <a:bodyPr rot="0" spcFirstLastPara="1" vertOverflow="ellipsis" vert="horz" wrap="square" anchor="ctr" anchorCtr="1"/>
          <a:lstStyle/>
          <a:p>
            <a:pPr algn="ctr">
              <a:defRPr sz="1000" b="0" i="0" u="none" strike="noStrike" kern="1200" spc="0" baseline="0">
                <a:solidFill>
                  <a:schemeClr val="tx1"/>
                </a:solidFill>
                <a:latin typeface="+mn-lt"/>
                <a:ea typeface="+mn-ea"/>
                <a:cs typeface="+mn-cs"/>
              </a:defRPr>
            </a:pPr>
            <a:r>
              <a:rPr lang="en-IN" sz="1000" b="1">
                <a:solidFill>
                  <a:schemeClr val="tx1"/>
                </a:solidFill>
              </a:rPr>
              <a:t>TAT Performance by Stage</a:t>
            </a:r>
            <a:r>
              <a:rPr lang="en-IN" sz="1000" b="1" baseline="0">
                <a:solidFill>
                  <a:schemeClr val="tx1"/>
                </a:solidFill>
              </a:rPr>
              <a:t> &amp; Store</a:t>
            </a:r>
            <a:endParaRPr lang="en-IN" sz="1000" b="1">
              <a:solidFill>
                <a:schemeClr val="tx1"/>
              </a:solidFill>
            </a:endParaRPr>
          </a:p>
        </c:rich>
      </c:tx>
      <c:layout>
        <c:manualLayout>
          <c:xMode val="edge"/>
          <c:yMode val="edge"/>
          <c:x val="0.2030940280761846"/>
          <c:y val="2.00540557721865E-2"/>
        </c:manualLayout>
      </c:layout>
      <c:overlay val="0"/>
      <c:spPr>
        <a:noFill/>
        <a:ln>
          <a:noFill/>
        </a:ln>
        <a:effectLst/>
      </c:spPr>
      <c:txPr>
        <a:bodyPr rot="0" spcFirstLastPara="1" vertOverflow="ellipsis" vert="horz" wrap="square" anchor="ctr" anchorCtr="1"/>
        <a:lstStyle/>
        <a:p>
          <a:pPr algn="ctr">
            <a:defRPr sz="10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2971147932307"/>
          <c:y val="0.1530049041873742"/>
          <c:w val="0.83671899842088526"/>
          <c:h val="0.57248313064127643"/>
        </c:manualLayout>
      </c:layout>
      <c:barChart>
        <c:barDir val="col"/>
        <c:grouping val="clustered"/>
        <c:varyColors val="0"/>
        <c:ser>
          <c:idx val="0"/>
          <c:order val="0"/>
          <c:tx>
            <c:strRef>
              <c:f>TATAnalysis!$B$3</c:f>
              <c:strCache>
                <c:ptCount val="1"/>
                <c:pt idx="0">
                  <c:v>Avg TAT Pre-Bookings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TATAnalysis!$A$4:$A$8</c:f>
              <c:strCache>
                <c:ptCount val="4"/>
                <c:pt idx="0">
                  <c:v>Bangalore MBC</c:v>
                </c:pt>
                <c:pt idx="1">
                  <c:v>Chennai MBC</c:v>
                </c:pt>
                <c:pt idx="2">
                  <c:v>Delhi MBC</c:v>
                </c:pt>
                <c:pt idx="3">
                  <c:v>Mumbai MBC</c:v>
                </c:pt>
              </c:strCache>
            </c:strRef>
          </c:cat>
          <c:val>
            <c:numRef>
              <c:f>TATAnalysis!$B$4:$B$8</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19F7-486C-A68C-7D13AF777D5F}"/>
            </c:ext>
          </c:extLst>
        </c:ser>
        <c:ser>
          <c:idx val="1"/>
          <c:order val="1"/>
          <c:tx>
            <c:strRef>
              <c:f>TATAnalysis!$C$3</c:f>
              <c:strCache>
                <c:ptCount val="1"/>
                <c:pt idx="0">
                  <c:v>Avg TAT Booking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TATAnalysis!$A$4:$A$8</c:f>
              <c:strCache>
                <c:ptCount val="4"/>
                <c:pt idx="0">
                  <c:v>Bangalore MBC</c:v>
                </c:pt>
                <c:pt idx="1">
                  <c:v>Chennai MBC</c:v>
                </c:pt>
                <c:pt idx="2">
                  <c:v>Delhi MBC</c:v>
                </c:pt>
                <c:pt idx="3">
                  <c:v>Mumbai MBC</c:v>
                </c:pt>
              </c:strCache>
            </c:strRef>
          </c:cat>
          <c:val>
            <c:numRef>
              <c:f>TATAnalysis!$C$4:$C$8</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19F7-486C-A68C-7D13AF777D5F}"/>
            </c:ext>
          </c:extLst>
        </c:ser>
        <c:ser>
          <c:idx val="2"/>
          <c:order val="2"/>
          <c:tx>
            <c:strRef>
              <c:f>TATAnalysis!$D$3</c:f>
              <c:strCache>
                <c:ptCount val="1"/>
                <c:pt idx="0">
                  <c:v>Avg TAT Delivery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TATAnalysis!$A$4:$A$8</c:f>
              <c:strCache>
                <c:ptCount val="4"/>
                <c:pt idx="0">
                  <c:v>Bangalore MBC</c:v>
                </c:pt>
                <c:pt idx="1">
                  <c:v>Chennai MBC</c:v>
                </c:pt>
                <c:pt idx="2">
                  <c:v>Delhi MBC</c:v>
                </c:pt>
                <c:pt idx="3">
                  <c:v>Mumbai MBC</c:v>
                </c:pt>
              </c:strCache>
            </c:strRef>
          </c:cat>
          <c:val>
            <c:numRef>
              <c:f>TATAnalysis!$D$4:$D$8</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19F7-486C-A68C-7D13AF777D5F}"/>
            </c:ext>
          </c:extLst>
        </c:ser>
        <c:dLbls>
          <c:dLblPos val="outEnd"/>
          <c:showLegendKey val="0"/>
          <c:showVal val="1"/>
          <c:showCatName val="0"/>
          <c:showSerName val="0"/>
          <c:showPercent val="0"/>
          <c:showBubbleSize val="0"/>
        </c:dLbls>
        <c:gapWidth val="182"/>
        <c:axId val="35587552"/>
        <c:axId val="35604832"/>
      </c:barChart>
      <c:catAx>
        <c:axId val="355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604832"/>
        <c:crosses val="autoZero"/>
        <c:auto val="1"/>
        <c:lblAlgn val="ctr"/>
        <c:lblOffset val="100"/>
        <c:noMultiLvlLbl val="0"/>
      </c:catAx>
      <c:valAx>
        <c:axId val="35604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587552"/>
        <c:crosses val="autoZero"/>
        <c:crossBetween val="between"/>
      </c:valAx>
      <c:spPr>
        <a:noFill/>
        <a:ln>
          <a:noFill/>
        </a:ln>
        <a:effectLst/>
      </c:spPr>
    </c:plotArea>
    <c:legend>
      <c:legendPos val="r"/>
      <c:layout>
        <c:manualLayout>
          <c:xMode val="edge"/>
          <c:yMode val="edge"/>
          <c:x val="4.004511880705177E-2"/>
          <c:y val="0.90897095141588302"/>
          <c:w val="0.90435567700156205"/>
          <c:h val="7.64597048319779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Analysis.xlsx]CancellationAnalysis!PivotTable13</c:name>
    <c:fmtId val="12"/>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IN" sz="1050" b="1">
                <a:solidFill>
                  <a:schemeClr val="tx1"/>
                </a:solidFill>
              </a:rPr>
              <a:t>Cancellation Trends</a:t>
            </a:r>
          </a:p>
        </c:rich>
      </c:tx>
      <c:layout>
        <c:manualLayout>
          <c:xMode val="edge"/>
          <c:yMode val="edge"/>
          <c:x val="0.39519455141100068"/>
          <c:y val="1.4245014245014245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09856386634674E-2"/>
          <c:y val="4.5073692711487985E-2"/>
          <c:w val="0.92378644093684303"/>
          <c:h val="0.70370781643747526"/>
        </c:manualLayout>
      </c:layout>
      <c:barChart>
        <c:barDir val="col"/>
        <c:grouping val="clustered"/>
        <c:varyColors val="0"/>
        <c:ser>
          <c:idx val="0"/>
          <c:order val="0"/>
          <c:tx>
            <c:strRef>
              <c:f>CancellationAnalysis!$B$14:$B$15</c:f>
              <c:strCache>
                <c:ptCount val="1"/>
                <c:pt idx="0">
                  <c:v>Changed Mind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CancellationAnalysis!$A$16:$A$20</c:f>
              <c:strCache>
                <c:ptCount val="4"/>
                <c:pt idx="0">
                  <c:v>Bangalore MBC</c:v>
                </c:pt>
                <c:pt idx="1">
                  <c:v>Chennai MBC</c:v>
                </c:pt>
                <c:pt idx="2">
                  <c:v>Delhi MBC</c:v>
                </c:pt>
                <c:pt idx="3">
                  <c:v>Mumbai MBC</c:v>
                </c:pt>
              </c:strCache>
            </c:strRef>
          </c:cat>
          <c:val>
            <c:numRef>
              <c:f>CancellationAnalysis!$B$16:$B$20</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86C2-42B1-81C7-3E2D415820FA}"/>
            </c:ext>
          </c:extLst>
        </c:ser>
        <c:ser>
          <c:idx val="1"/>
          <c:order val="1"/>
          <c:tx>
            <c:strRef>
              <c:f>CancellationAnalysis!$C$14:$C$15</c:f>
              <c:strCache>
                <c:ptCount val="1"/>
                <c:pt idx="0">
                  <c:v>Financing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CancellationAnalysis!$A$16:$A$20</c:f>
              <c:strCache>
                <c:ptCount val="4"/>
                <c:pt idx="0">
                  <c:v>Bangalore MBC</c:v>
                </c:pt>
                <c:pt idx="1">
                  <c:v>Chennai MBC</c:v>
                </c:pt>
                <c:pt idx="2">
                  <c:v>Delhi MBC</c:v>
                </c:pt>
                <c:pt idx="3">
                  <c:v>Mumbai MBC</c:v>
                </c:pt>
              </c:strCache>
            </c:strRef>
          </c:cat>
          <c:val>
            <c:numRef>
              <c:f>CancellationAnalysis!$C$16:$C$20</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86C2-42B1-81C7-3E2D415820FA}"/>
            </c:ext>
          </c:extLst>
        </c:ser>
        <c:ser>
          <c:idx val="2"/>
          <c:order val="2"/>
          <c:tx>
            <c:strRef>
              <c:f>CancellationAnalysis!$D$14:$D$15</c:f>
              <c:strCache>
                <c:ptCount val="1"/>
                <c:pt idx="0">
                  <c:v>Model Unavailable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CancellationAnalysis!$A$16:$A$20</c:f>
              <c:strCache>
                <c:ptCount val="4"/>
                <c:pt idx="0">
                  <c:v>Bangalore MBC</c:v>
                </c:pt>
                <c:pt idx="1">
                  <c:v>Chennai MBC</c:v>
                </c:pt>
                <c:pt idx="2">
                  <c:v>Delhi MBC</c:v>
                </c:pt>
                <c:pt idx="3">
                  <c:v>Mumbai MBC</c:v>
                </c:pt>
              </c:strCache>
            </c:strRef>
          </c:cat>
          <c:val>
            <c:numRef>
              <c:f>CancellationAnalysis!$D$16:$D$20</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2-86C2-42B1-81C7-3E2D415820FA}"/>
            </c:ext>
          </c:extLst>
        </c:ser>
        <c:ser>
          <c:idx val="3"/>
          <c:order val="3"/>
          <c:tx>
            <c:strRef>
              <c:f>CancellationAnalysis!$E$14:$E$15</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CancellationAnalysis!$A$16:$A$20</c:f>
              <c:strCache>
                <c:ptCount val="4"/>
                <c:pt idx="0">
                  <c:v>Bangalore MBC</c:v>
                </c:pt>
                <c:pt idx="1">
                  <c:v>Chennai MBC</c:v>
                </c:pt>
                <c:pt idx="2">
                  <c:v>Delhi MBC</c:v>
                </c:pt>
                <c:pt idx="3">
                  <c:v>Mumbai MBC</c:v>
                </c:pt>
              </c:strCache>
            </c:strRef>
          </c:cat>
          <c:val>
            <c:numRef>
              <c:f>CancellationAnalysis!$E$16:$E$20</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4-86C2-42B1-81C7-3E2D415820FA}"/>
            </c:ext>
          </c:extLst>
        </c:ser>
        <c:ser>
          <c:idx val="4"/>
          <c:order val="4"/>
          <c:tx>
            <c:strRef>
              <c:f>CancellationAnalysis!$F$14:$F$15</c:f>
              <c:strCache>
                <c:ptCount val="1"/>
                <c:pt idx="0">
                  <c:v>Price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CancellationAnalysis!$A$16:$A$20</c:f>
              <c:strCache>
                <c:ptCount val="4"/>
                <c:pt idx="0">
                  <c:v>Bangalore MBC</c:v>
                </c:pt>
                <c:pt idx="1">
                  <c:v>Chennai MBC</c:v>
                </c:pt>
                <c:pt idx="2">
                  <c:v>Delhi MBC</c:v>
                </c:pt>
                <c:pt idx="3">
                  <c:v>Mumbai MBC</c:v>
                </c:pt>
              </c:strCache>
            </c:strRef>
          </c:cat>
          <c:val>
            <c:numRef>
              <c:f>CancellationAnalysis!$F$16:$F$20</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5-86C2-42B1-81C7-3E2D415820FA}"/>
            </c:ext>
          </c:extLst>
        </c:ser>
        <c:ser>
          <c:idx val="5"/>
          <c:order val="5"/>
          <c:tx>
            <c:strRef>
              <c:f>CancellationAnalysis!$G$14:$G$15</c:f>
              <c:strCache>
                <c:ptCount val="1"/>
                <c:pt idx="0">
                  <c:v>(blank)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CancellationAnalysis!$A$16:$A$20</c:f>
              <c:strCache>
                <c:ptCount val="4"/>
                <c:pt idx="0">
                  <c:v>Bangalore MBC</c:v>
                </c:pt>
                <c:pt idx="1">
                  <c:v>Chennai MBC</c:v>
                </c:pt>
                <c:pt idx="2">
                  <c:v>Delhi MBC</c:v>
                </c:pt>
                <c:pt idx="3">
                  <c:v>Mumbai MBC</c:v>
                </c:pt>
              </c:strCache>
            </c:strRef>
          </c:cat>
          <c:val>
            <c:numRef>
              <c:f>CancellationAnalysis!$G$16:$G$20</c:f>
              <c:numCache>
                <c:formatCode>General</c:formatCode>
                <c:ptCount val="4"/>
              </c:numCache>
            </c:numRef>
          </c:val>
          <c:extLst>
            <c:ext xmlns:c16="http://schemas.microsoft.com/office/drawing/2014/chart" uri="{C3380CC4-5D6E-409C-BE32-E72D297353CC}">
              <c16:uniqueId val="{00000003-664E-4461-B1B9-0FF2A1D720C3}"/>
            </c:ext>
          </c:extLst>
        </c:ser>
        <c:dLbls>
          <c:showLegendKey val="0"/>
          <c:showVal val="1"/>
          <c:showCatName val="0"/>
          <c:showSerName val="0"/>
          <c:showPercent val="0"/>
          <c:showBubbleSize val="0"/>
        </c:dLbls>
        <c:gapWidth val="150"/>
        <c:axId val="1793297104"/>
        <c:axId val="1793297584"/>
      </c:barChart>
      <c:catAx>
        <c:axId val="179329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3297584"/>
        <c:crosses val="autoZero"/>
        <c:auto val="1"/>
        <c:lblAlgn val="ctr"/>
        <c:lblOffset val="100"/>
        <c:noMultiLvlLbl val="0"/>
      </c:catAx>
      <c:valAx>
        <c:axId val="179329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3297104"/>
        <c:crosses val="autoZero"/>
        <c:crossBetween val="between"/>
      </c:valAx>
      <c:spPr>
        <a:noFill/>
        <a:ln>
          <a:noFill/>
        </a:ln>
        <a:effectLst/>
      </c:spPr>
    </c:plotArea>
    <c:legend>
      <c:legendPos val="r"/>
      <c:layout>
        <c:manualLayout>
          <c:xMode val="edge"/>
          <c:yMode val="edge"/>
          <c:x val="6.637927043380093E-2"/>
          <c:y val="0.85536019433740995"/>
          <c:w val="0.89060673725146633"/>
          <c:h val="0.14464004938691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Analysis.xlsx]LeadTypeAnalysis!PivotTable10</c:name>
    <c:fmtId val="10"/>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IN" sz="1000" b="1">
                <a:solidFill>
                  <a:schemeClr val="tx1"/>
                </a:solidFill>
              </a:rPr>
              <a:t>Lead Type</a:t>
            </a:r>
            <a:r>
              <a:rPr lang="en-IN" sz="1000" b="1" baseline="0">
                <a:solidFill>
                  <a:schemeClr val="tx1"/>
                </a:solidFill>
              </a:rPr>
              <a:t> Distribution </a:t>
            </a:r>
            <a:r>
              <a:rPr lang="en-IN" sz="1000" b="1">
                <a:solidFill>
                  <a:schemeClr val="tx1"/>
                </a:solidFill>
              </a:rPr>
              <a:t>By Store</a:t>
            </a:r>
          </a:p>
        </c:rich>
      </c:tx>
      <c:layout>
        <c:manualLayout>
          <c:xMode val="edge"/>
          <c:yMode val="edge"/>
          <c:x val="0.25533050507051397"/>
          <c:y val="3.2545931758530184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0779016599626E-2"/>
          <c:y val="0.11161340126601822"/>
          <c:w val="0.89149803149606299"/>
          <c:h val="0.68307652719880607"/>
        </c:manualLayout>
      </c:layout>
      <c:barChart>
        <c:barDir val="col"/>
        <c:grouping val="clustered"/>
        <c:varyColors val="0"/>
        <c:ser>
          <c:idx val="0"/>
          <c:order val="0"/>
          <c:tx>
            <c:strRef>
              <c:f>LeadTypeAnalysis!$K$3:$K$4</c:f>
              <c:strCache>
                <c:ptCount val="1"/>
                <c:pt idx="0">
                  <c:v>Cold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LeadTypeAnalysis!$J$5:$J$9</c:f>
              <c:strCache>
                <c:ptCount val="4"/>
                <c:pt idx="0">
                  <c:v>Bangalore MBC</c:v>
                </c:pt>
                <c:pt idx="1">
                  <c:v>Chennai MBC</c:v>
                </c:pt>
                <c:pt idx="2">
                  <c:v>Delhi MBC</c:v>
                </c:pt>
                <c:pt idx="3">
                  <c:v>Mumbai MBC</c:v>
                </c:pt>
              </c:strCache>
            </c:strRef>
          </c:cat>
          <c:val>
            <c:numRef>
              <c:f>LeadTypeAnalysis!$K$5:$K$9</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B553-4C2A-A160-9164F70387E5}"/>
            </c:ext>
          </c:extLst>
        </c:ser>
        <c:ser>
          <c:idx val="1"/>
          <c:order val="1"/>
          <c:tx>
            <c:strRef>
              <c:f>LeadTypeAnalysis!$L$3:$L$4</c:f>
              <c:strCache>
                <c:ptCount val="1"/>
                <c:pt idx="0">
                  <c:v>Hot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LeadTypeAnalysis!$J$5:$J$9</c:f>
              <c:strCache>
                <c:ptCount val="4"/>
                <c:pt idx="0">
                  <c:v>Bangalore MBC</c:v>
                </c:pt>
                <c:pt idx="1">
                  <c:v>Chennai MBC</c:v>
                </c:pt>
                <c:pt idx="2">
                  <c:v>Delhi MBC</c:v>
                </c:pt>
                <c:pt idx="3">
                  <c:v>Mumbai MBC</c:v>
                </c:pt>
              </c:strCache>
            </c:strRef>
          </c:cat>
          <c:val>
            <c:numRef>
              <c:f>LeadTypeAnalysis!$L$5:$L$9</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1-1D75-4148-A590-7D94FF4DA766}"/>
            </c:ext>
          </c:extLst>
        </c:ser>
        <c:ser>
          <c:idx val="2"/>
          <c:order val="2"/>
          <c:tx>
            <c:strRef>
              <c:f>LeadTypeAnalysis!$M$3:$M$4</c:f>
              <c:strCache>
                <c:ptCount val="1"/>
                <c:pt idx="0">
                  <c:v>Warm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LeadTypeAnalysis!$J$5:$J$9</c:f>
              <c:strCache>
                <c:ptCount val="4"/>
                <c:pt idx="0">
                  <c:v>Bangalore MBC</c:v>
                </c:pt>
                <c:pt idx="1">
                  <c:v>Chennai MBC</c:v>
                </c:pt>
                <c:pt idx="2">
                  <c:v>Delhi MBC</c:v>
                </c:pt>
                <c:pt idx="3">
                  <c:v>Mumbai MBC</c:v>
                </c:pt>
              </c:strCache>
            </c:strRef>
          </c:cat>
          <c:val>
            <c:numRef>
              <c:f>LeadTypeAnalysis!$M$5:$M$9</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02-1D75-4148-A590-7D94FF4DA766}"/>
            </c:ext>
          </c:extLst>
        </c:ser>
        <c:dLbls>
          <c:dLblPos val="outEnd"/>
          <c:showLegendKey val="0"/>
          <c:showVal val="1"/>
          <c:showCatName val="0"/>
          <c:showSerName val="0"/>
          <c:showPercent val="0"/>
          <c:showBubbleSize val="0"/>
        </c:dLbls>
        <c:gapWidth val="219"/>
        <c:overlap val="-27"/>
        <c:axId val="35602912"/>
        <c:axId val="35597152"/>
      </c:barChart>
      <c:catAx>
        <c:axId val="356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597152"/>
        <c:crosses val="autoZero"/>
        <c:auto val="1"/>
        <c:lblAlgn val="ctr"/>
        <c:lblOffset val="100"/>
        <c:noMultiLvlLbl val="0"/>
      </c:catAx>
      <c:valAx>
        <c:axId val="3559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602912"/>
        <c:crosses val="autoZero"/>
        <c:crossBetween val="between"/>
      </c:valAx>
      <c:spPr>
        <a:noFill/>
        <a:ln>
          <a:noFill/>
        </a:ln>
        <a:effectLst/>
      </c:spPr>
    </c:plotArea>
    <c:legend>
      <c:legendPos val="r"/>
      <c:layout>
        <c:manualLayout>
          <c:xMode val="edge"/>
          <c:yMode val="edge"/>
          <c:x val="0.12074562554680665"/>
          <c:y val="0.89135919359773275"/>
          <c:w val="0.13961849522557004"/>
          <c:h val="0.10864072528125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IN" sz="1000" b="1">
                <a:solidFill>
                  <a:schemeClr val="tx1"/>
                </a:solidFill>
              </a:rPr>
              <a:t>Lead Type Performance</a:t>
            </a:r>
          </a:p>
        </c:rich>
      </c:tx>
      <c:layout>
        <c:manualLayout>
          <c:xMode val="edge"/>
          <c:yMode val="edge"/>
          <c:x val="0.19880426663840708"/>
          <c:y val="1.2970168612191959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6840477010508564"/>
          <c:y val="0.14400155233514095"/>
          <c:w val="0.76666327365821618"/>
          <c:h val="0.55720865631095728"/>
        </c:manualLayout>
      </c:layout>
      <c:barChart>
        <c:barDir val="col"/>
        <c:grouping val="clustered"/>
        <c:varyColors val="0"/>
        <c:ser>
          <c:idx val="0"/>
          <c:order val="0"/>
          <c:tx>
            <c:strRef>
              <c:f>LeadTypeAnalysis!$B$10</c:f>
              <c:strCache>
                <c:ptCount val="1"/>
                <c:pt idx="0">
                  <c:v>Leads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LeadTypeAnalysis!$A$11:$A$13</c:f>
              <c:strCache>
                <c:ptCount val="3"/>
                <c:pt idx="0">
                  <c:v>Cold</c:v>
                </c:pt>
                <c:pt idx="1">
                  <c:v>Hot</c:v>
                </c:pt>
                <c:pt idx="2">
                  <c:v>Warm</c:v>
                </c:pt>
              </c:strCache>
            </c:strRef>
          </c:cat>
          <c:val>
            <c:numRef>
              <c:f>LeadTypeAnalysis!$B$11:$B$13</c:f>
              <c:numCache>
                <c:formatCode>General</c:formatCode>
                <c:ptCount val="3"/>
                <c:pt idx="0">
                  <c:v>188</c:v>
                </c:pt>
                <c:pt idx="1">
                  <c:v>303</c:v>
                </c:pt>
                <c:pt idx="2">
                  <c:v>509</c:v>
                </c:pt>
              </c:numCache>
            </c:numRef>
          </c:val>
          <c:extLst>
            <c:ext xmlns:c16="http://schemas.microsoft.com/office/drawing/2014/chart" uri="{C3380CC4-5D6E-409C-BE32-E72D297353CC}">
              <c16:uniqueId val="{00000000-3483-401B-9D1C-3E91678F9F47}"/>
            </c:ext>
          </c:extLst>
        </c:ser>
        <c:ser>
          <c:idx val="1"/>
          <c:order val="1"/>
          <c:tx>
            <c:strRef>
              <c:f>LeadTypeAnalysis!$E$10</c:f>
              <c:strCache>
                <c:ptCount val="1"/>
                <c:pt idx="0">
                  <c:v>Deliveries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LeadTypeAnalysis!$A$11:$A$13</c:f>
              <c:strCache>
                <c:ptCount val="3"/>
                <c:pt idx="0">
                  <c:v>Cold</c:v>
                </c:pt>
                <c:pt idx="1">
                  <c:v>Hot</c:v>
                </c:pt>
                <c:pt idx="2">
                  <c:v>Warm</c:v>
                </c:pt>
              </c:strCache>
            </c:strRef>
          </c:cat>
          <c:val>
            <c:numRef>
              <c:f>LeadTypeAnalysis!$E$11:$E$13</c:f>
              <c:numCache>
                <c:formatCode>General</c:formatCode>
                <c:ptCount val="3"/>
                <c:pt idx="0">
                  <c:v>0</c:v>
                </c:pt>
                <c:pt idx="1">
                  <c:v>303</c:v>
                </c:pt>
                <c:pt idx="2">
                  <c:v>509</c:v>
                </c:pt>
              </c:numCache>
            </c:numRef>
          </c:val>
          <c:extLst>
            <c:ext xmlns:c16="http://schemas.microsoft.com/office/drawing/2014/chart" uri="{C3380CC4-5D6E-409C-BE32-E72D297353CC}">
              <c16:uniqueId val="{00000001-3483-401B-9D1C-3E91678F9F47}"/>
            </c:ext>
          </c:extLst>
        </c:ser>
        <c:dLbls>
          <c:dLblPos val="outEnd"/>
          <c:showLegendKey val="0"/>
          <c:showVal val="1"/>
          <c:showCatName val="0"/>
          <c:showSerName val="0"/>
          <c:showPercent val="0"/>
          <c:showBubbleSize val="0"/>
        </c:dLbls>
        <c:gapWidth val="219"/>
        <c:overlap val="-27"/>
        <c:axId val="35618752"/>
        <c:axId val="35620672"/>
      </c:barChart>
      <c:catAx>
        <c:axId val="356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620672"/>
        <c:crosses val="autoZero"/>
        <c:auto val="1"/>
        <c:lblAlgn val="ctr"/>
        <c:lblOffset val="100"/>
        <c:noMultiLvlLbl val="0"/>
      </c:catAx>
      <c:valAx>
        <c:axId val="3562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61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Analysis.xlsx]Customer Rating!PivotTable14</c:name>
    <c:fmtId val="5"/>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Customer Ratings</a:t>
            </a:r>
          </a:p>
        </c:rich>
      </c:tx>
      <c:layout>
        <c:manualLayout>
          <c:xMode val="edge"/>
          <c:yMode val="edge"/>
          <c:x val="0.36862290079593707"/>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456007813838081E-2"/>
          <c:y val="0.10894737379617431"/>
          <c:w val="0.87710425085753174"/>
          <c:h val="0.73577621863414921"/>
        </c:manualLayout>
      </c:layout>
      <c:bar3DChart>
        <c:barDir val="bar"/>
        <c:grouping val="clustered"/>
        <c:varyColors val="0"/>
        <c:ser>
          <c:idx val="0"/>
          <c:order val="0"/>
          <c:tx>
            <c:strRef>
              <c:f>'Customer Rating'!$B$2</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'Customer Rating'!$A$3:$A$14</c:f>
              <c:strCache>
                <c:ptCount val="12"/>
                <c:pt idx="0">
                  <c:v>0</c:v>
                </c:pt>
                <c:pt idx="1">
                  <c:v>1</c:v>
                </c:pt>
                <c:pt idx="2">
                  <c:v>2</c:v>
                </c:pt>
                <c:pt idx="3">
                  <c:v>3</c:v>
                </c:pt>
                <c:pt idx="4">
                  <c:v>4</c:v>
                </c:pt>
                <c:pt idx="5">
                  <c:v>5</c:v>
                </c:pt>
                <c:pt idx="6">
                  <c:v>6</c:v>
                </c:pt>
                <c:pt idx="7">
                  <c:v>7</c:v>
                </c:pt>
                <c:pt idx="8">
                  <c:v>8</c:v>
                </c:pt>
                <c:pt idx="9">
                  <c:v>9</c:v>
                </c:pt>
                <c:pt idx="10">
                  <c:v>10</c:v>
                </c:pt>
                <c:pt idx="11">
                  <c:v> </c:v>
                </c:pt>
              </c:strCache>
            </c:strRef>
          </c:cat>
          <c:val>
            <c:numRef>
              <c:f>'Customer Rating'!$B$3:$B$14</c:f>
              <c:numCache>
                <c:formatCode>General</c:formatCode>
                <c:ptCount val="12"/>
                <c:pt idx="0">
                  <c:v>0</c:v>
                </c:pt>
                <c:pt idx="1">
                  <c:v>76</c:v>
                </c:pt>
                <c:pt idx="2">
                  <c:v>166</c:v>
                </c:pt>
                <c:pt idx="3">
                  <c:v>231</c:v>
                </c:pt>
                <c:pt idx="4">
                  <c:v>320</c:v>
                </c:pt>
                <c:pt idx="5">
                  <c:v>310</c:v>
                </c:pt>
                <c:pt idx="6">
                  <c:v>480</c:v>
                </c:pt>
                <c:pt idx="7">
                  <c:v>483</c:v>
                </c:pt>
                <c:pt idx="8">
                  <c:v>496</c:v>
                </c:pt>
                <c:pt idx="9">
                  <c:v>594</c:v>
                </c:pt>
                <c:pt idx="10">
                  <c:v>380</c:v>
                </c:pt>
              </c:numCache>
            </c:numRef>
          </c:val>
          <c:extLst>
            <c:ext xmlns:c16="http://schemas.microsoft.com/office/drawing/2014/chart" uri="{C3380CC4-5D6E-409C-BE32-E72D297353CC}">
              <c16:uniqueId val="{00000000-7CF9-4D87-8DC5-EBC1402C9208}"/>
            </c:ext>
          </c:extLst>
        </c:ser>
        <c:dLbls>
          <c:showLegendKey val="0"/>
          <c:showVal val="0"/>
          <c:showCatName val="0"/>
          <c:showSerName val="0"/>
          <c:showPercent val="0"/>
          <c:showBubbleSize val="0"/>
        </c:dLbls>
        <c:gapWidth val="150"/>
        <c:shape val="box"/>
        <c:axId val="1984902352"/>
        <c:axId val="1984896592"/>
        <c:axId val="0"/>
      </c:bar3DChart>
      <c:catAx>
        <c:axId val="198490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4896592"/>
        <c:crosses val="autoZero"/>
        <c:auto val="1"/>
        <c:lblAlgn val="ctr"/>
        <c:lblOffset val="100"/>
        <c:noMultiLvlLbl val="0"/>
      </c:catAx>
      <c:valAx>
        <c:axId val="198489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49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Analysis.xlsx]Customer Rating!PivotTable15</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rPr>
              <a:t>Avg. Customer Rating</a:t>
            </a:r>
          </a:p>
        </c:rich>
      </c:tx>
      <c:layout>
        <c:manualLayout>
          <c:xMode val="edge"/>
          <c:yMode val="edge"/>
          <c:x val="0.12043010752688173"/>
          <c:y val="2.024291497975708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5805835854095"/>
          <c:y val="0.14607999404932684"/>
          <c:w val="0.78328407262875133"/>
          <c:h val="0.65600167893993011"/>
        </c:manualLayout>
      </c:layout>
      <c:areaChart>
        <c:grouping val="stacked"/>
        <c:varyColors val="0"/>
        <c:ser>
          <c:idx val="0"/>
          <c:order val="0"/>
          <c:tx>
            <c:strRef>
              <c:f>'Customer Rating'!$B$18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'Customer Rating'!$A$19:$A$22</c:f>
              <c:strCache>
                <c:ptCount val="4"/>
                <c:pt idx="0">
                  <c:v>Bangalore MBC</c:v>
                </c:pt>
                <c:pt idx="1">
                  <c:v>Chennai MBC</c:v>
                </c:pt>
                <c:pt idx="2">
                  <c:v>Delhi MBC</c:v>
                </c:pt>
                <c:pt idx="3">
                  <c:v>Mumbai MBC</c:v>
                </c:pt>
              </c:strCache>
            </c:strRef>
          </c:cat>
          <c:val>
            <c:numRef>
              <c:f>'Customer Rating'!$B$19:$B$22</c:f>
              <c:numCache>
                <c:formatCode>0.00</c:formatCode>
                <c:ptCount val="4"/>
                <c:pt idx="0">
                  <c:v>4.670157068062827</c:v>
                </c:pt>
                <c:pt idx="1">
                  <c:v>5.0130718954248366</c:v>
                </c:pt>
                <c:pt idx="2">
                  <c:v>4.897849462365591</c:v>
                </c:pt>
                <c:pt idx="3">
                  <c:v>4.8542713567839195</c:v>
                </c:pt>
              </c:numCache>
            </c:numRef>
          </c:val>
          <c:extLst>
            <c:ext xmlns:c16="http://schemas.microsoft.com/office/drawing/2014/chart" uri="{C3380CC4-5D6E-409C-BE32-E72D297353CC}">
              <c16:uniqueId val="{00000000-0151-47C8-A1E2-98246D54972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613472"/>
        <c:axId val="35614912"/>
      </c:areaChart>
      <c:catAx>
        <c:axId val="35613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614912"/>
        <c:crosses val="autoZero"/>
        <c:auto val="1"/>
        <c:lblAlgn val="ctr"/>
        <c:lblOffset val="100"/>
        <c:noMultiLvlLbl val="0"/>
      </c:catAx>
      <c:valAx>
        <c:axId val="35614912"/>
        <c:scaling>
          <c:orientation val="minMax"/>
        </c:scaling>
        <c:delete val="1"/>
        <c:axPos val="l"/>
        <c:numFmt formatCode="0.00" sourceLinked="1"/>
        <c:majorTickMark val="out"/>
        <c:minorTickMark val="none"/>
        <c:tickLblPos val="nextTo"/>
        <c:crossAx val="3561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Store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StoreAnalysis!$B$13</c:f>
              <c:strCache>
                <c:ptCount val="1"/>
                <c:pt idx="0">
                  <c:v>Total Leads</c:v>
                </c:pt>
              </c:strCache>
            </c:strRef>
          </c:tx>
          <c:spPr>
            <a:solidFill>
              <a:schemeClr val="accent1"/>
            </a:solidFill>
            <a:ln>
              <a:noFill/>
            </a:ln>
            <a:effectLst/>
          </c:spPr>
          <c:invertIfNegative val="0"/>
          <c:cat>
            <c:strRef>
              <c:f>StoreAnalysis!$A$14:$A$17</c:f>
              <c:strCache>
                <c:ptCount val="4"/>
                <c:pt idx="0">
                  <c:v>Bangalore MBC</c:v>
                </c:pt>
                <c:pt idx="1">
                  <c:v>Chennai MBC</c:v>
                </c:pt>
                <c:pt idx="2">
                  <c:v>Delhi MBC</c:v>
                </c:pt>
                <c:pt idx="3">
                  <c:v>Mumbai MBC</c:v>
                </c:pt>
              </c:strCache>
            </c:strRef>
          </c:cat>
          <c:val>
            <c:numRef>
              <c:f>StoreAnalysis!$B$14:$B$17</c:f>
              <c:numCache>
                <c:formatCode>General</c:formatCode>
                <c:ptCount val="4"/>
                <c:pt idx="0">
                  <c:v>263</c:v>
                </c:pt>
                <c:pt idx="1">
                  <c:v>212</c:v>
                </c:pt>
                <c:pt idx="2">
                  <c:v>263</c:v>
                </c:pt>
                <c:pt idx="3">
                  <c:v>262</c:v>
                </c:pt>
              </c:numCache>
            </c:numRef>
          </c:val>
          <c:extLst>
            <c:ext xmlns:c16="http://schemas.microsoft.com/office/drawing/2014/chart" uri="{C3380CC4-5D6E-409C-BE32-E72D297353CC}">
              <c16:uniqueId val="{00000000-F172-4B28-8D64-04280ED1C9D4}"/>
            </c:ext>
          </c:extLst>
        </c:ser>
        <c:ser>
          <c:idx val="1"/>
          <c:order val="1"/>
          <c:tx>
            <c:strRef>
              <c:f>StoreAnalysis!$E$13</c:f>
              <c:strCache>
                <c:ptCount val="1"/>
                <c:pt idx="0">
                  <c:v>Delivery</c:v>
                </c:pt>
              </c:strCache>
            </c:strRef>
          </c:tx>
          <c:spPr>
            <a:solidFill>
              <a:schemeClr val="accent2"/>
            </a:solidFill>
            <a:ln>
              <a:noFill/>
            </a:ln>
            <a:effectLst/>
          </c:spPr>
          <c:invertIfNegative val="0"/>
          <c:cat>
            <c:strRef>
              <c:f>StoreAnalysis!$A$14:$A$17</c:f>
              <c:strCache>
                <c:ptCount val="4"/>
                <c:pt idx="0">
                  <c:v>Bangalore MBC</c:v>
                </c:pt>
                <c:pt idx="1">
                  <c:v>Chennai MBC</c:v>
                </c:pt>
                <c:pt idx="2">
                  <c:v>Delhi MBC</c:v>
                </c:pt>
                <c:pt idx="3">
                  <c:v>Mumbai MBC</c:v>
                </c:pt>
              </c:strCache>
            </c:strRef>
          </c:cat>
          <c:val>
            <c:numRef>
              <c:f>StoreAnalysis!$E$14:$E$17</c:f>
              <c:numCache>
                <c:formatCode>General</c:formatCode>
                <c:ptCount val="4"/>
                <c:pt idx="0">
                  <c:v>212</c:v>
                </c:pt>
                <c:pt idx="1">
                  <c:v>173</c:v>
                </c:pt>
                <c:pt idx="2">
                  <c:v>212</c:v>
                </c:pt>
                <c:pt idx="3">
                  <c:v>215</c:v>
                </c:pt>
              </c:numCache>
            </c:numRef>
          </c:val>
          <c:extLst>
            <c:ext xmlns:c16="http://schemas.microsoft.com/office/drawing/2014/chart" uri="{C3380CC4-5D6E-409C-BE32-E72D297353CC}">
              <c16:uniqueId val="{00000001-F172-4B28-8D64-04280ED1C9D4}"/>
            </c:ext>
          </c:extLst>
        </c:ser>
        <c:ser>
          <c:idx val="2"/>
          <c:order val="2"/>
          <c:tx>
            <c:strRef>
              <c:f>StoreAnalysis!$F$13</c:f>
              <c:strCache>
                <c:ptCount val="1"/>
                <c:pt idx="0">
                  <c:v>Cancellation</c:v>
                </c:pt>
              </c:strCache>
            </c:strRef>
          </c:tx>
          <c:spPr>
            <a:solidFill>
              <a:schemeClr val="accent3"/>
            </a:solidFill>
            <a:ln>
              <a:noFill/>
            </a:ln>
            <a:effectLst/>
          </c:spPr>
          <c:invertIfNegative val="0"/>
          <c:cat>
            <c:strRef>
              <c:f>StoreAnalysis!$A$14:$A$17</c:f>
              <c:strCache>
                <c:ptCount val="4"/>
                <c:pt idx="0">
                  <c:v>Bangalore MBC</c:v>
                </c:pt>
                <c:pt idx="1">
                  <c:v>Chennai MBC</c:v>
                </c:pt>
                <c:pt idx="2">
                  <c:v>Delhi MBC</c:v>
                </c:pt>
                <c:pt idx="3">
                  <c:v>Mumbai MBC</c:v>
                </c:pt>
              </c:strCache>
            </c:strRef>
          </c:cat>
          <c:val>
            <c:numRef>
              <c:f>StoreAnalysis!$F$14:$F$17</c:f>
              <c:numCache>
                <c:formatCode>General</c:formatCode>
                <c:ptCount val="4"/>
                <c:pt idx="0">
                  <c:v>72</c:v>
                </c:pt>
                <c:pt idx="1">
                  <c:v>59</c:v>
                </c:pt>
                <c:pt idx="2">
                  <c:v>77</c:v>
                </c:pt>
                <c:pt idx="3">
                  <c:v>63</c:v>
                </c:pt>
              </c:numCache>
            </c:numRef>
          </c:val>
          <c:extLst>
            <c:ext xmlns:c16="http://schemas.microsoft.com/office/drawing/2014/chart" uri="{C3380CC4-5D6E-409C-BE32-E72D297353CC}">
              <c16:uniqueId val="{00000002-F172-4B28-8D64-04280ED1C9D4}"/>
            </c:ext>
          </c:extLst>
        </c:ser>
        <c:dLbls>
          <c:showLegendKey val="0"/>
          <c:showVal val="0"/>
          <c:showCatName val="0"/>
          <c:showSerName val="0"/>
          <c:showPercent val="0"/>
          <c:showBubbleSize val="0"/>
        </c:dLbls>
        <c:gapWidth val="219"/>
        <c:overlap val="-27"/>
        <c:axId val="35609632"/>
        <c:axId val="35616352"/>
      </c:barChart>
      <c:catAx>
        <c:axId val="3560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6352"/>
        <c:crosses val="autoZero"/>
        <c:auto val="1"/>
        <c:lblAlgn val="ctr"/>
        <c:lblOffset val="100"/>
        <c:noMultiLvlLbl val="0"/>
      </c:catAx>
      <c:valAx>
        <c:axId val="3561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09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Lead Type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LeadTypeAnalysis!$B$10</c:f>
              <c:strCache>
                <c:ptCount val="1"/>
                <c:pt idx="0">
                  <c:v>Leads</c:v>
                </c:pt>
              </c:strCache>
            </c:strRef>
          </c:tx>
          <c:spPr>
            <a:solidFill>
              <a:schemeClr val="accent1"/>
            </a:solidFill>
            <a:ln>
              <a:noFill/>
            </a:ln>
            <a:effectLst/>
          </c:spPr>
          <c:invertIfNegative val="0"/>
          <c:cat>
            <c:strRef>
              <c:f>LeadTypeAnalysis!$A$11:$A$13</c:f>
              <c:strCache>
                <c:ptCount val="3"/>
                <c:pt idx="0">
                  <c:v>Cold</c:v>
                </c:pt>
                <c:pt idx="1">
                  <c:v>Hot</c:v>
                </c:pt>
                <c:pt idx="2">
                  <c:v>Warm</c:v>
                </c:pt>
              </c:strCache>
            </c:strRef>
          </c:cat>
          <c:val>
            <c:numRef>
              <c:f>LeadTypeAnalysis!$B$11:$B$13</c:f>
              <c:numCache>
                <c:formatCode>General</c:formatCode>
                <c:ptCount val="3"/>
                <c:pt idx="0">
                  <c:v>188</c:v>
                </c:pt>
                <c:pt idx="1">
                  <c:v>303</c:v>
                </c:pt>
                <c:pt idx="2">
                  <c:v>509</c:v>
                </c:pt>
              </c:numCache>
            </c:numRef>
          </c:val>
          <c:extLst>
            <c:ext xmlns:c16="http://schemas.microsoft.com/office/drawing/2014/chart" uri="{C3380CC4-5D6E-409C-BE32-E72D297353CC}">
              <c16:uniqueId val="{00000000-28EE-4D07-A598-673C1705D1DF}"/>
            </c:ext>
          </c:extLst>
        </c:ser>
        <c:ser>
          <c:idx val="1"/>
          <c:order val="1"/>
          <c:tx>
            <c:strRef>
              <c:f>LeadTypeAnalysis!$E$10</c:f>
              <c:strCache>
                <c:ptCount val="1"/>
                <c:pt idx="0">
                  <c:v>Deliveries</c:v>
                </c:pt>
              </c:strCache>
            </c:strRef>
          </c:tx>
          <c:spPr>
            <a:solidFill>
              <a:schemeClr val="accent2"/>
            </a:solidFill>
            <a:ln>
              <a:noFill/>
            </a:ln>
            <a:effectLst/>
          </c:spPr>
          <c:invertIfNegative val="0"/>
          <c:cat>
            <c:strRef>
              <c:f>LeadTypeAnalysis!$A$11:$A$13</c:f>
              <c:strCache>
                <c:ptCount val="3"/>
                <c:pt idx="0">
                  <c:v>Cold</c:v>
                </c:pt>
                <c:pt idx="1">
                  <c:v>Hot</c:v>
                </c:pt>
                <c:pt idx="2">
                  <c:v>Warm</c:v>
                </c:pt>
              </c:strCache>
            </c:strRef>
          </c:cat>
          <c:val>
            <c:numRef>
              <c:f>LeadTypeAnalysis!$E$11:$E$13</c:f>
              <c:numCache>
                <c:formatCode>General</c:formatCode>
                <c:ptCount val="3"/>
                <c:pt idx="0">
                  <c:v>0</c:v>
                </c:pt>
                <c:pt idx="1">
                  <c:v>303</c:v>
                </c:pt>
                <c:pt idx="2">
                  <c:v>509</c:v>
                </c:pt>
              </c:numCache>
            </c:numRef>
          </c:val>
          <c:extLst>
            <c:ext xmlns:c16="http://schemas.microsoft.com/office/drawing/2014/chart" uri="{C3380CC4-5D6E-409C-BE32-E72D297353CC}">
              <c16:uniqueId val="{00000001-28EE-4D07-A598-673C1705D1DF}"/>
            </c:ext>
          </c:extLst>
        </c:ser>
        <c:dLbls>
          <c:showLegendKey val="0"/>
          <c:showVal val="0"/>
          <c:showCatName val="0"/>
          <c:showSerName val="0"/>
          <c:showPercent val="0"/>
          <c:showBubbleSize val="0"/>
        </c:dLbls>
        <c:gapWidth val="219"/>
        <c:overlap val="-27"/>
        <c:axId val="35618752"/>
        <c:axId val="35620672"/>
      </c:barChart>
      <c:catAx>
        <c:axId val="356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0672"/>
        <c:crosses val="autoZero"/>
        <c:auto val="1"/>
        <c:lblAlgn val="ctr"/>
        <c:lblOffset val="100"/>
        <c:noMultiLvlLbl val="0"/>
      </c:catAx>
      <c:valAx>
        <c:axId val="3562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Analysis.xlsx]LeadTypeAnalysis!PivotTable10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Lead Type</a:t>
            </a:r>
            <a:r>
              <a:rPr lang="en-IN" baseline="0"/>
              <a:t> Distribution </a:t>
            </a:r>
            <a:r>
              <a:rPr lang="en-IN"/>
              <a:t>By Store</a:t>
            </a:r>
          </a:p>
        </c:rich>
      </c:tx>
      <c:layout>
        <c:manualLayout>
          <c:xMode val="edge"/>
          <c:yMode val="edge"/>
          <c:x val="0.26490560352168957"/>
          <c:y val="2.2862368541380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0779016599626E-2"/>
          <c:y val="0.11814948028615763"/>
          <c:w val="0.89149803149606299"/>
          <c:h val="0.67654068961544422"/>
        </c:manualLayout>
      </c:layout>
      <c:barChart>
        <c:barDir val="col"/>
        <c:grouping val="clustered"/>
        <c:varyColors val="0"/>
        <c:ser>
          <c:idx val="0"/>
          <c:order val="0"/>
          <c:tx>
            <c:strRef>
              <c:f>LeadTypeAnalysis!$K$3:$K$4</c:f>
              <c:strCache>
                <c:ptCount val="1"/>
                <c:pt idx="0">
                  <c:v>Cold</c:v>
                </c:pt>
              </c:strCache>
            </c:strRef>
          </c:tx>
          <c:spPr>
            <a:solidFill>
              <a:schemeClr val="accent1"/>
            </a:solidFill>
            <a:ln>
              <a:noFill/>
            </a:ln>
            <a:effectLst/>
          </c:spPr>
          <c:invertIfNegative val="0"/>
          <c:cat>
            <c:strRef>
              <c:f>LeadTypeAnalysis!$J$5:$J$9</c:f>
              <c:strCache>
                <c:ptCount val="4"/>
                <c:pt idx="0">
                  <c:v>Bangalore MBC</c:v>
                </c:pt>
                <c:pt idx="1">
                  <c:v>Chennai MBC</c:v>
                </c:pt>
                <c:pt idx="2">
                  <c:v>Delhi MBC</c:v>
                </c:pt>
                <c:pt idx="3">
                  <c:v>Mumbai MBC</c:v>
                </c:pt>
              </c:strCache>
            </c:strRef>
          </c:cat>
          <c:val>
            <c:numRef>
              <c:f>LeadTypeAnalysis!$K$5:$K$9</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E9D5-4A44-BB9A-AB73A9905746}"/>
            </c:ext>
          </c:extLst>
        </c:ser>
        <c:ser>
          <c:idx val="1"/>
          <c:order val="1"/>
          <c:tx>
            <c:strRef>
              <c:f>LeadTypeAnalysis!$L$3:$L$4</c:f>
              <c:strCache>
                <c:ptCount val="1"/>
                <c:pt idx="0">
                  <c:v>Hot</c:v>
                </c:pt>
              </c:strCache>
            </c:strRef>
          </c:tx>
          <c:spPr>
            <a:solidFill>
              <a:schemeClr val="accent2"/>
            </a:solidFill>
            <a:ln>
              <a:noFill/>
            </a:ln>
            <a:effectLst/>
          </c:spPr>
          <c:invertIfNegative val="0"/>
          <c:cat>
            <c:strRef>
              <c:f>LeadTypeAnalysis!$J$5:$J$9</c:f>
              <c:strCache>
                <c:ptCount val="4"/>
                <c:pt idx="0">
                  <c:v>Bangalore MBC</c:v>
                </c:pt>
                <c:pt idx="1">
                  <c:v>Chennai MBC</c:v>
                </c:pt>
                <c:pt idx="2">
                  <c:v>Delhi MBC</c:v>
                </c:pt>
                <c:pt idx="3">
                  <c:v>Mumbai MBC</c:v>
                </c:pt>
              </c:strCache>
            </c:strRef>
          </c:cat>
          <c:val>
            <c:numRef>
              <c:f>LeadTypeAnalysis!$L$5:$L$9</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D8AB-410F-97D0-D37AF9F2FAA8}"/>
            </c:ext>
          </c:extLst>
        </c:ser>
        <c:ser>
          <c:idx val="2"/>
          <c:order val="2"/>
          <c:tx>
            <c:strRef>
              <c:f>LeadTypeAnalysis!$M$3:$M$4</c:f>
              <c:strCache>
                <c:ptCount val="1"/>
                <c:pt idx="0">
                  <c:v>Warm</c:v>
                </c:pt>
              </c:strCache>
            </c:strRef>
          </c:tx>
          <c:spPr>
            <a:solidFill>
              <a:schemeClr val="accent3"/>
            </a:solidFill>
            <a:ln>
              <a:noFill/>
            </a:ln>
            <a:effectLst/>
          </c:spPr>
          <c:invertIfNegative val="0"/>
          <c:cat>
            <c:strRef>
              <c:f>LeadTypeAnalysis!$J$5:$J$9</c:f>
              <c:strCache>
                <c:ptCount val="4"/>
                <c:pt idx="0">
                  <c:v>Bangalore MBC</c:v>
                </c:pt>
                <c:pt idx="1">
                  <c:v>Chennai MBC</c:v>
                </c:pt>
                <c:pt idx="2">
                  <c:v>Delhi MBC</c:v>
                </c:pt>
                <c:pt idx="3">
                  <c:v>Mumbai MBC</c:v>
                </c:pt>
              </c:strCache>
            </c:strRef>
          </c:cat>
          <c:val>
            <c:numRef>
              <c:f>LeadTypeAnalysis!$M$5:$M$9</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01-D8AB-410F-97D0-D37AF9F2FAA8}"/>
            </c:ext>
          </c:extLst>
        </c:ser>
        <c:dLbls>
          <c:showLegendKey val="0"/>
          <c:showVal val="0"/>
          <c:showCatName val="0"/>
          <c:showSerName val="0"/>
          <c:showPercent val="0"/>
          <c:showBubbleSize val="0"/>
        </c:dLbls>
        <c:gapWidth val="219"/>
        <c:overlap val="-27"/>
        <c:axId val="35602912"/>
        <c:axId val="35597152"/>
      </c:barChart>
      <c:catAx>
        <c:axId val="356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7152"/>
        <c:crosses val="autoZero"/>
        <c:auto val="1"/>
        <c:lblAlgn val="ctr"/>
        <c:lblOffset val="100"/>
        <c:noMultiLvlLbl val="0"/>
      </c:catAx>
      <c:valAx>
        <c:axId val="3559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02912"/>
        <c:crosses val="autoZero"/>
        <c:crossBetween val="between"/>
      </c:valAx>
      <c:spPr>
        <a:noFill/>
        <a:ln>
          <a:noFill/>
        </a:ln>
        <a:effectLst/>
      </c:spPr>
    </c:plotArea>
    <c:legend>
      <c:legendPos val="r"/>
      <c:layout>
        <c:manualLayout>
          <c:xMode val="edge"/>
          <c:yMode val="edge"/>
          <c:x val="0.12074562554680665"/>
          <c:y val="0.89135919359773275"/>
          <c:w val="0.67092104111986006"/>
          <c:h val="8.02672978761090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Analysis.xlsx]TATAnalysis!PivotTable11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73447069116359"/>
          <c:y val="0.11784348788270976"/>
          <c:w val="0.76681407974688098"/>
          <c:h val="0.65901625847584611"/>
        </c:manualLayout>
      </c:layout>
      <c:barChart>
        <c:barDir val="col"/>
        <c:grouping val="clustered"/>
        <c:varyColors val="0"/>
        <c:ser>
          <c:idx val="0"/>
          <c:order val="0"/>
          <c:tx>
            <c:strRef>
              <c:f>TATAnalysis!$B$3</c:f>
              <c:strCache>
                <c:ptCount val="1"/>
                <c:pt idx="0">
                  <c:v>Avg TAT Pre-Bookings</c:v>
                </c:pt>
              </c:strCache>
            </c:strRef>
          </c:tx>
          <c:spPr>
            <a:solidFill>
              <a:schemeClr val="accent1"/>
            </a:solidFill>
            <a:ln>
              <a:noFill/>
            </a:ln>
            <a:effectLst/>
          </c:spPr>
          <c:invertIfNegative val="0"/>
          <c:cat>
            <c:strRef>
              <c:f>TATAnalysis!$A$4:$A$8</c:f>
              <c:strCache>
                <c:ptCount val="4"/>
                <c:pt idx="0">
                  <c:v>Bangalore MBC</c:v>
                </c:pt>
                <c:pt idx="1">
                  <c:v>Chennai MBC</c:v>
                </c:pt>
                <c:pt idx="2">
                  <c:v>Delhi MBC</c:v>
                </c:pt>
                <c:pt idx="3">
                  <c:v>Mumbai MBC</c:v>
                </c:pt>
              </c:strCache>
            </c:strRef>
          </c:cat>
          <c:val>
            <c:numRef>
              <c:f>TATAnalysis!$B$4:$B$8</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951A-435F-AC9B-E4E8009CF7A8}"/>
            </c:ext>
          </c:extLst>
        </c:ser>
        <c:ser>
          <c:idx val="1"/>
          <c:order val="1"/>
          <c:tx>
            <c:strRef>
              <c:f>TATAnalysis!$C$3</c:f>
              <c:strCache>
                <c:ptCount val="1"/>
                <c:pt idx="0">
                  <c:v>Avg TAT Booking</c:v>
                </c:pt>
              </c:strCache>
            </c:strRef>
          </c:tx>
          <c:spPr>
            <a:solidFill>
              <a:schemeClr val="accent2"/>
            </a:solidFill>
            <a:ln>
              <a:noFill/>
            </a:ln>
            <a:effectLst/>
          </c:spPr>
          <c:invertIfNegative val="0"/>
          <c:cat>
            <c:strRef>
              <c:f>TATAnalysis!$A$4:$A$8</c:f>
              <c:strCache>
                <c:ptCount val="4"/>
                <c:pt idx="0">
                  <c:v>Bangalore MBC</c:v>
                </c:pt>
                <c:pt idx="1">
                  <c:v>Chennai MBC</c:v>
                </c:pt>
                <c:pt idx="2">
                  <c:v>Delhi MBC</c:v>
                </c:pt>
                <c:pt idx="3">
                  <c:v>Mumbai MBC</c:v>
                </c:pt>
              </c:strCache>
            </c:strRef>
          </c:cat>
          <c:val>
            <c:numRef>
              <c:f>TATAnalysis!$C$4:$C$8</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951A-435F-AC9B-E4E8009CF7A8}"/>
            </c:ext>
          </c:extLst>
        </c:ser>
        <c:ser>
          <c:idx val="2"/>
          <c:order val="2"/>
          <c:tx>
            <c:strRef>
              <c:f>TATAnalysis!$D$3</c:f>
              <c:strCache>
                <c:ptCount val="1"/>
                <c:pt idx="0">
                  <c:v>Avg TAT Delivery</c:v>
                </c:pt>
              </c:strCache>
            </c:strRef>
          </c:tx>
          <c:spPr>
            <a:solidFill>
              <a:schemeClr val="accent3"/>
            </a:solidFill>
            <a:ln>
              <a:noFill/>
            </a:ln>
            <a:effectLst/>
          </c:spPr>
          <c:invertIfNegative val="0"/>
          <c:cat>
            <c:strRef>
              <c:f>TATAnalysis!$A$4:$A$8</c:f>
              <c:strCache>
                <c:ptCount val="4"/>
                <c:pt idx="0">
                  <c:v>Bangalore MBC</c:v>
                </c:pt>
                <c:pt idx="1">
                  <c:v>Chennai MBC</c:v>
                </c:pt>
                <c:pt idx="2">
                  <c:v>Delhi MBC</c:v>
                </c:pt>
                <c:pt idx="3">
                  <c:v>Mumbai MBC</c:v>
                </c:pt>
              </c:strCache>
            </c:strRef>
          </c:cat>
          <c:val>
            <c:numRef>
              <c:f>TATAnalysis!$D$4:$D$8</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951A-435F-AC9B-E4E8009CF7A8}"/>
            </c:ext>
          </c:extLst>
        </c:ser>
        <c:dLbls>
          <c:showLegendKey val="0"/>
          <c:showVal val="0"/>
          <c:showCatName val="0"/>
          <c:showSerName val="0"/>
          <c:showPercent val="0"/>
          <c:showBubbleSize val="0"/>
        </c:dLbls>
        <c:gapWidth val="182"/>
        <c:axId val="35587552"/>
        <c:axId val="35604832"/>
      </c:barChart>
      <c:catAx>
        <c:axId val="355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04832"/>
        <c:crosses val="autoZero"/>
        <c:auto val="1"/>
        <c:lblAlgn val="ctr"/>
        <c:lblOffset val="100"/>
        <c:noMultiLvlLbl val="0"/>
      </c:catAx>
      <c:valAx>
        <c:axId val="35604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7552"/>
        <c:crosses val="autoZero"/>
        <c:crossBetween val="between"/>
      </c:valAx>
      <c:spPr>
        <a:noFill/>
        <a:ln>
          <a:noFill/>
        </a:ln>
        <a:effectLst/>
      </c:spPr>
    </c:plotArea>
    <c:legend>
      <c:legendPos val="r"/>
      <c:layout>
        <c:manualLayout>
          <c:xMode val="edge"/>
          <c:yMode val="edge"/>
          <c:x val="4.004502291094892E-2"/>
          <c:y val="0.87265796606039048"/>
          <c:w val="0.90435567700156205"/>
          <c:h val="0.11061263201572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Analysis.xlsx]CancellationAnalysis!PivotTable12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5.8871210995709591E-2"/>
          <c:y val="0.12440902342636669"/>
          <c:w val="0.52402765375977489"/>
          <c:h val="0.82383601968716635"/>
        </c:manualLayout>
      </c:layout>
      <c:pieChart>
        <c:varyColors val="1"/>
        <c:ser>
          <c:idx val="0"/>
          <c:order val="0"/>
          <c:tx>
            <c:strRef>
              <c:f>CancellationAnalysis!$B$3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21-44FB-BBD1-B4F164EF11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21-44FB-BBD1-B4F164EF11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21-44FB-BBD1-B4F164EF11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21-44FB-BBD1-B4F164EF11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21-44FB-BBD1-B4F164EF11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F21-44FB-BBD1-B4F164EF11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CancellationAnalysis!$A$4:$A$9</c:f>
              <c:strCache>
                <c:ptCount val="5"/>
                <c:pt idx="0">
                  <c:v>Changed Mind</c:v>
                </c:pt>
                <c:pt idx="1">
                  <c:v>Financing Issue</c:v>
                </c:pt>
                <c:pt idx="2">
                  <c:v>Model Unavailable</c:v>
                </c:pt>
                <c:pt idx="3">
                  <c:v>Other</c:v>
                </c:pt>
                <c:pt idx="4">
                  <c:v>Price</c:v>
                </c:pt>
              </c:strCache>
            </c:strRef>
          </c:cat>
          <c:val>
            <c:numRef>
              <c:f>CancellationAnalysis!$B$4:$B$9</c:f>
              <c:numCache>
                <c:formatCode>General</c:formatCode>
                <c:ptCount val="5"/>
                <c:pt idx="0">
                  <c:v>51</c:v>
                </c:pt>
                <c:pt idx="1">
                  <c:v>59</c:v>
                </c:pt>
                <c:pt idx="2">
                  <c:v>43</c:v>
                </c:pt>
                <c:pt idx="3">
                  <c:v>57</c:v>
                </c:pt>
                <c:pt idx="4">
                  <c:v>61</c:v>
                </c:pt>
              </c:numCache>
            </c:numRef>
          </c:val>
          <c:extLst>
            <c:ext xmlns:c16="http://schemas.microsoft.com/office/drawing/2014/chart" uri="{C3380CC4-5D6E-409C-BE32-E72D297353CC}">
              <c16:uniqueId val="{00000000-C3A9-4BF6-90A9-FB84F96DD0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397570149092173"/>
          <c:y val="0.19972774878018693"/>
          <c:w val="0.23599832237465163"/>
          <c:h val="0.622640241282643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Analysis.xlsx]CancellationAnalysis!PivotTable13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09856386634674E-2"/>
          <c:y val="4.5073692711487985E-2"/>
          <c:w val="0.92378644093684303"/>
          <c:h val="0.70370781643747526"/>
        </c:manualLayout>
      </c:layout>
      <c:barChart>
        <c:barDir val="col"/>
        <c:grouping val="clustered"/>
        <c:varyColors val="0"/>
        <c:ser>
          <c:idx val="0"/>
          <c:order val="0"/>
          <c:tx>
            <c:strRef>
              <c:f>CancellationAnalysis!$B$14:$B$15</c:f>
              <c:strCache>
                <c:ptCount val="1"/>
                <c:pt idx="0">
                  <c:v>Changed Mind</c:v>
                </c:pt>
              </c:strCache>
            </c:strRef>
          </c:tx>
          <c:spPr>
            <a:solidFill>
              <a:schemeClr val="accent1"/>
            </a:solidFill>
            <a:ln>
              <a:noFill/>
            </a:ln>
            <a:effectLst/>
          </c:spPr>
          <c:invertIfNegative val="0"/>
          <c:cat>
            <c:strRef>
              <c:f>CancellationAnalysis!$A$16:$A$20</c:f>
              <c:strCache>
                <c:ptCount val="4"/>
                <c:pt idx="0">
                  <c:v>Bangalore MBC</c:v>
                </c:pt>
                <c:pt idx="1">
                  <c:v>Chennai MBC</c:v>
                </c:pt>
                <c:pt idx="2">
                  <c:v>Delhi MBC</c:v>
                </c:pt>
                <c:pt idx="3">
                  <c:v>Mumbai MBC</c:v>
                </c:pt>
              </c:strCache>
            </c:strRef>
          </c:cat>
          <c:val>
            <c:numRef>
              <c:f>CancellationAnalysis!$B$16:$B$20</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290A-43A6-98E2-1F858543F70B}"/>
            </c:ext>
          </c:extLst>
        </c:ser>
        <c:ser>
          <c:idx val="1"/>
          <c:order val="1"/>
          <c:tx>
            <c:strRef>
              <c:f>CancellationAnalysis!$C$14:$C$15</c:f>
              <c:strCache>
                <c:ptCount val="1"/>
                <c:pt idx="0">
                  <c:v>Financing Issue</c:v>
                </c:pt>
              </c:strCache>
            </c:strRef>
          </c:tx>
          <c:spPr>
            <a:solidFill>
              <a:schemeClr val="accent2"/>
            </a:solidFill>
            <a:ln>
              <a:noFill/>
            </a:ln>
            <a:effectLst/>
          </c:spPr>
          <c:invertIfNegative val="0"/>
          <c:cat>
            <c:strRef>
              <c:f>CancellationAnalysis!$A$16:$A$20</c:f>
              <c:strCache>
                <c:ptCount val="4"/>
                <c:pt idx="0">
                  <c:v>Bangalore MBC</c:v>
                </c:pt>
                <c:pt idx="1">
                  <c:v>Chennai MBC</c:v>
                </c:pt>
                <c:pt idx="2">
                  <c:v>Delhi MBC</c:v>
                </c:pt>
                <c:pt idx="3">
                  <c:v>Mumbai MBC</c:v>
                </c:pt>
              </c:strCache>
            </c:strRef>
          </c:cat>
          <c:val>
            <c:numRef>
              <c:f>CancellationAnalysis!$C$16:$C$20</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290A-43A6-98E2-1F858543F70B}"/>
            </c:ext>
          </c:extLst>
        </c:ser>
        <c:ser>
          <c:idx val="2"/>
          <c:order val="2"/>
          <c:tx>
            <c:strRef>
              <c:f>CancellationAnalysis!$D$14:$D$15</c:f>
              <c:strCache>
                <c:ptCount val="1"/>
                <c:pt idx="0">
                  <c:v>Model Unavailable</c:v>
                </c:pt>
              </c:strCache>
            </c:strRef>
          </c:tx>
          <c:spPr>
            <a:solidFill>
              <a:schemeClr val="accent3"/>
            </a:solidFill>
            <a:ln>
              <a:noFill/>
            </a:ln>
            <a:effectLst/>
          </c:spPr>
          <c:invertIfNegative val="0"/>
          <c:cat>
            <c:strRef>
              <c:f>CancellationAnalysis!$A$16:$A$20</c:f>
              <c:strCache>
                <c:ptCount val="4"/>
                <c:pt idx="0">
                  <c:v>Bangalore MBC</c:v>
                </c:pt>
                <c:pt idx="1">
                  <c:v>Chennai MBC</c:v>
                </c:pt>
                <c:pt idx="2">
                  <c:v>Delhi MBC</c:v>
                </c:pt>
                <c:pt idx="3">
                  <c:v>Mumbai MBC</c:v>
                </c:pt>
              </c:strCache>
            </c:strRef>
          </c:cat>
          <c:val>
            <c:numRef>
              <c:f>CancellationAnalysis!$D$16:$D$20</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2-290A-43A6-98E2-1F858543F70B}"/>
            </c:ext>
          </c:extLst>
        </c:ser>
        <c:ser>
          <c:idx val="3"/>
          <c:order val="3"/>
          <c:tx>
            <c:strRef>
              <c:f>CancellationAnalysis!$E$14:$E$15</c:f>
              <c:strCache>
                <c:ptCount val="1"/>
                <c:pt idx="0">
                  <c:v>Other</c:v>
                </c:pt>
              </c:strCache>
            </c:strRef>
          </c:tx>
          <c:spPr>
            <a:solidFill>
              <a:schemeClr val="accent4"/>
            </a:solidFill>
            <a:ln>
              <a:noFill/>
            </a:ln>
            <a:effectLst/>
          </c:spPr>
          <c:invertIfNegative val="0"/>
          <c:cat>
            <c:strRef>
              <c:f>CancellationAnalysis!$A$16:$A$20</c:f>
              <c:strCache>
                <c:ptCount val="4"/>
                <c:pt idx="0">
                  <c:v>Bangalore MBC</c:v>
                </c:pt>
                <c:pt idx="1">
                  <c:v>Chennai MBC</c:v>
                </c:pt>
                <c:pt idx="2">
                  <c:v>Delhi MBC</c:v>
                </c:pt>
                <c:pt idx="3">
                  <c:v>Mumbai MBC</c:v>
                </c:pt>
              </c:strCache>
            </c:strRef>
          </c:cat>
          <c:val>
            <c:numRef>
              <c:f>CancellationAnalysis!$E$16:$E$20</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3-290A-43A6-98E2-1F858543F70B}"/>
            </c:ext>
          </c:extLst>
        </c:ser>
        <c:ser>
          <c:idx val="4"/>
          <c:order val="4"/>
          <c:tx>
            <c:strRef>
              <c:f>CancellationAnalysis!$F$14:$F$15</c:f>
              <c:strCache>
                <c:ptCount val="1"/>
                <c:pt idx="0">
                  <c:v>Price</c:v>
                </c:pt>
              </c:strCache>
            </c:strRef>
          </c:tx>
          <c:spPr>
            <a:solidFill>
              <a:schemeClr val="accent5"/>
            </a:solidFill>
            <a:ln>
              <a:noFill/>
            </a:ln>
            <a:effectLst/>
          </c:spPr>
          <c:invertIfNegative val="0"/>
          <c:cat>
            <c:strRef>
              <c:f>CancellationAnalysis!$A$16:$A$20</c:f>
              <c:strCache>
                <c:ptCount val="4"/>
                <c:pt idx="0">
                  <c:v>Bangalore MBC</c:v>
                </c:pt>
                <c:pt idx="1">
                  <c:v>Chennai MBC</c:v>
                </c:pt>
                <c:pt idx="2">
                  <c:v>Delhi MBC</c:v>
                </c:pt>
                <c:pt idx="3">
                  <c:v>Mumbai MBC</c:v>
                </c:pt>
              </c:strCache>
            </c:strRef>
          </c:cat>
          <c:val>
            <c:numRef>
              <c:f>CancellationAnalysis!$F$16:$F$20</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4-290A-43A6-98E2-1F858543F70B}"/>
            </c:ext>
          </c:extLst>
        </c:ser>
        <c:ser>
          <c:idx val="5"/>
          <c:order val="5"/>
          <c:tx>
            <c:strRef>
              <c:f>CancellationAnalysis!$G$14:$G$15</c:f>
              <c:strCache>
                <c:ptCount val="1"/>
                <c:pt idx="0">
                  <c:v>(blank)</c:v>
                </c:pt>
              </c:strCache>
            </c:strRef>
          </c:tx>
          <c:spPr>
            <a:solidFill>
              <a:schemeClr val="accent6"/>
            </a:solidFill>
            <a:ln>
              <a:noFill/>
            </a:ln>
            <a:effectLst/>
          </c:spPr>
          <c:invertIfNegative val="0"/>
          <c:cat>
            <c:strRef>
              <c:f>CancellationAnalysis!$A$16:$A$20</c:f>
              <c:strCache>
                <c:ptCount val="4"/>
                <c:pt idx="0">
                  <c:v>Bangalore MBC</c:v>
                </c:pt>
                <c:pt idx="1">
                  <c:v>Chennai MBC</c:v>
                </c:pt>
                <c:pt idx="2">
                  <c:v>Delhi MBC</c:v>
                </c:pt>
                <c:pt idx="3">
                  <c:v>Mumbai MBC</c:v>
                </c:pt>
              </c:strCache>
            </c:strRef>
          </c:cat>
          <c:val>
            <c:numRef>
              <c:f>CancellationAnalysis!$G$16:$G$20</c:f>
              <c:numCache>
                <c:formatCode>General</c:formatCode>
                <c:ptCount val="4"/>
              </c:numCache>
            </c:numRef>
          </c:val>
          <c:extLst>
            <c:ext xmlns:c16="http://schemas.microsoft.com/office/drawing/2014/chart" uri="{C3380CC4-5D6E-409C-BE32-E72D297353CC}">
              <c16:uniqueId val="{00000002-2F6A-43FA-A03B-ABB66D0F773B}"/>
            </c:ext>
          </c:extLst>
        </c:ser>
        <c:dLbls>
          <c:showLegendKey val="0"/>
          <c:showVal val="0"/>
          <c:showCatName val="0"/>
          <c:showSerName val="0"/>
          <c:showPercent val="0"/>
          <c:showBubbleSize val="0"/>
        </c:dLbls>
        <c:gapWidth val="150"/>
        <c:axId val="1793297104"/>
        <c:axId val="1793297584"/>
      </c:barChart>
      <c:catAx>
        <c:axId val="179329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297584"/>
        <c:crosses val="autoZero"/>
        <c:auto val="1"/>
        <c:lblAlgn val="ctr"/>
        <c:lblOffset val="100"/>
        <c:noMultiLvlLbl val="0"/>
      </c:catAx>
      <c:valAx>
        <c:axId val="179329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297104"/>
        <c:crosses val="autoZero"/>
        <c:crossBetween val="between"/>
      </c:valAx>
      <c:spPr>
        <a:noFill/>
        <a:ln>
          <a:noFill/>
        </a:ln>
        <a:effectLst/>
      </c:spPr>
    </c:plotArea>
    <c:legend>
      <c:legendPos val="r"/>
      <c:layout>
        <c:manualLayout>
          <c:xMode val="edge"/>
          <c:yMode val="edge"/>
          <c:x val="6.8640681725807895E-2"/>
          <c:y val="0.85536019433740995"/>
          <c:w val="0.86056120445574225"/>
          <c:h val="0.10095521304517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Analysis.xlsx]Customer Rating!PivotTable15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Avg. </a:t>
            </a:r>
            <a:r>
              <a:rPr lang="en-US"/>
              <a:t>Customer Rating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'Customer Rating'!$B$18</c:f>
              <c:strCache>
                <c:ptCount val="1"/>
                <c:pt idx="0">
                  <c:v>Total</c:v>
                </c:pt>
              </c:strCache>
            </c:strRef>
          </c:tx>
          <c:spPr>
            <a:solidFill>
              <a:schemeClr val="accent1"/>
            </a:solidFill>
            <a:ln>
              <a:noFill/>
            </a:ln>
            <a:effectLst/>
            <a:sp3d/>
          </c:spPr>
          <c:cat>
            <c:strRef>
              <c:f>'Customer Rating'!$A$19:$A$22</c:f>
              <c:strCache>
                <c:ptCount val="4"/>
                <c:pt idx="0">
                  <c:v>Bangalore MBC</c:v>
                </c:pt>
                <c:pt idx="1">
                  <c:v>Chennai MBC</c:v>
                </c:pt>
                <c:pt idx="2">
                  <c:v>Delhi MBC</c:v>
                </c:pt>
                <c:pt idx="3">
                  <c:v>Mumbai MBC</c:v>
                </c:pt>
              </c:strCache>
            </c:strRef>
          </c:cat>
          <c:val>
            <c:numRef>
              <c:f>'Customer Rating'!$B$19:$B$22</c:f>
              <c:numCache>
                <c:formatCode>0.00</c:formatCode>
                <c:ptCount val="4"/>
                <c:pt idx="0">
                  <c:v>4.670157068062827</c:v>
                </c:pt>
                <c:pt idx="1">
                  <c:v>5.0130718954248366</c:v>
                </c:pt>
                <c:pt idx="2">
                  <c:v>4.897849462365591</c:v>
                </c:pt>
                <c:pt idx="3">
                  <c:v>4.8542713567839195</c:v>
                </c:pt>
              </c:numCache>
            </c:numRef>
          </c:val>
          <c:extLst>
            <c:ext xmlns:c16="http://schemas.microsoft.com/office/drawing/2014/chart" uri="{C3380CC4-5D6E-409C-BE32-E72D297353CC}">
              <c16:uniqueId val="{00000000-5D64-47E9-A5AD-146DB1B61DA0}"/>
            </c:ext>
          </c:extLst>
        </c:ser>
        <c:dLbls>
          <c:showLegendKey val="0"/>
          <c:showVal val="0"/>
          <c:showCatName val="0"/>
          <c:showSerName val="0"/>
          <c:showPercent val="0"/>
          <c:showBubbleSize val="0"/>
        </c:dLbls>
        <c:axId val="35613472"/>
        <c:axId val="35614912"/>
        <c:axId val="0"/>
      </c:area3DChart>
      <c:catAx>
        <c:axId val="3561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4912"/>
        <c:crosses val="autoZero"/>
        <c:auto val="1"/>
        <c:lblAlgn val="ctr"/>
        <c:lblOffset val="100"/>
        <c:noMultiLvlLbl val="0"/>
      </c:catAx>
      <c:valAx>
        <c:axId val="35614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Lead to Delivery Analysis.xlsx]Customer Rating!PivotTable14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'Customer Rating'!$B$2</c:f>
              <c:strCache>
                <c:ptCount val="1"/>
                <c:pt idx="0">
                  <c:v>Total</c:v>
                </c:pt>
              </c:strCache>
            </c:strRef>
          </c:tx>
          <c:spPr>
            <a:solidFill>
              <a:schemeClr val="accent1"/>
            </a:solidFill>
            <a:ln>
              <a:noFill/>
            </a:ln>
            <a:effectLst/>
            <a:sp3d/>
          </c:spPr>
          <c:invertIfNegative val="0"/>
          <c:cat>
            <c:strRef>
              <c:f>'Customer Rating'!$A$3:$A$14</c:f>
              <c:strCache>
                <c:ptCount val="12"/>
                <c:pt idx="0">
                  <c:v>0</c:v>
                </c:pt>
                <c:pt idx="1">
                  <c:v>1</c:v>
                </c:pt>
                <c:pt idx="2">
                  <c:v>2</c:v>
                </c:pt>
                <c:pt idx="3">
                  <c:v>3</c:v>
                </c:pt>
                <c:pt idx="4">
                  <c:v>4</c:v>
                </c:pt>
                <c:pt idx="5">
                  <c:v>5</c:v>
                </c:pt>
                <c:pt idx="6">
                  <c:v>6</c:v>
                </c:pt>
                <c:pt idx="7">
                  <c:v>7</c:v>
                </c:pt>
                <c:pt idx="8">
                  <c:v>8</c:v>
                </c:pt>
                <c:pt idx="9">
                  <c:v>9</c:v>
                </c:pt>
                <c:pt idx="10">
                  <c:v>10</c:v>
                </c:pt>
                <c:pt idx="11">
                  <c:v> </c:v>
                </c:pt>
              </c:strCache>
            </c:strRef>
          </c:cat>
          <c:val>
            <c:numRef>
              <c:f>'Customer Rating'!$B$3:$B$14</c:f>
              <c:numCache>
                <c:formatCode>General</c:formatCode>
                <c:ptCount val="12"/>
                <c:pt idx="0">
                  <c:v>0</c:v>
                </c:pt>
                <c:pt idx="1">
                  <c:v>76</c:v>
                </c:pt>
                <c:pt idx="2">
                  <c:v>166</c:v>
                </c:pt>
                <c:pt idx="3">
                  <c:v>231</c:v>
                </c:pt>
                <c:pt idx="4">
                  <c:v>320</c:v>
                </c:pt>
                <c:pt idx="5">
                  <c:v>310</c:v>
                </c:pt>
                <c:pt idx="6">
                  <c:v>480</c:v>
                </c:pt>
                <c:pt idx="7">
                  <c:v>483</c:v>
                </c:pt>
                <c:pt idx="8">
                  <c:v>496</c:v>
                </c:pt>
                <c:pt idx="9">
                  <c:v>594</c:v>
                </c:pt>
                <c:pt idx="10">
                  <c:v>380</c:v>
                </c:pt>
              </c:numCache>
            </c:numRef>
          </c:val>
          <c:extLst>
            <c:ext xmlns:c16="http://schemas.microsoft.com/office/drawing/2014/chart" uri="{C3380CC4-5D6E-409C-BE32-E72D297353CC}">
              <c16:uniqueId val="{00000000-7AA1-4D8C-AFE8-901884F537AD}"/>
            </c:ext>
          </c:extLst>
        </c:ser>
        <c:dLbls>
          <c:showLegendKey val="0"/>
          <c:showVal val="0"/>
          <c:showCatName val="0"/>
          <c:showSerName val="0"/>
          <c:showPercent val="0"/>
          <c:showBubbleSize val="0"/>
        </c:dLbls>
        <c:gapWidth val="150"/>
        <c:shape val="box"/>
        <c:axId val="1984902352"/>
        <c:axId val="1984896592"/>
        <c:axId val="0"/>
      </c:bar3DChart>
      <c:catAx>
        <c:axId val="198490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896592"/>
        <c:crosses val="autoZero"/>
        <c:auto val="1"/>
        <c:lblAlgn val="ctr"/>
        <c:lblOffset val="100"/>
        <c:noMultiLvlLbl val="0"/>
      </c:catAx>
      <c:valAx>
        <c:axId val="198489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n-US" sz="1200" b="1" i="0" u="none" strike="noStrike" kern="1200" spc="0" baseline="0">
                <a:solidFill>
                  <a:schemeClr val="tx1"/>
                </a:solidFill>
                <a:latin typeface="+mn-lt"/>
                <a:ea typeface="+mn-ea"/>
                <a:cs typeface="+mn-cs"/>
              </a:rPr>
              <a:t>Lead-to-Delivery</a:t>
            </a:r>
            <a:r>
              <a:rPr lang="en-US" sz="1200" b="1" i="0" u="none" strike="noStrike" baseline="0">
                <a:solidFill>
                  <a:schemeClr val="tx1"/>
                </a:solidFill>
                <a:latin typeface="Calibri" panose="020F0502020204030204"/>
              </a:rPr>
              <a:t> Funnel Analysis</a:t>
            </a:r>
          </a:p>
        </cx:rich>
      </cx:tx>
    </cx:title>
    <cx:plotArea>
      <cx:plotAreaRegion>
        <cx:series layoutId="funnel" uniqueId="{DB86E9D4-58F2-4F27-BD41-478110DECEFC}">
          <cx:tx>
            <cx:txData>
              <cx:f>_xlchart.v2.1</cx:f>
              <cx:v>Total Count</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Gill Sans MT" panose="020B0502020104020203"/>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data id="1">
      <cx:strDim type="cat">
        <cx:f>_xlchart.v2.3</cx:f>
      </cx:strDim>
      <cx:numDim type="val">
        <cx:f>_xlchart.v2.7</cx:f>
      </cx:numDim>
    </cx:data>
  </cx:chartData>
  <cx:chart>
    <cx:title pos="t" align="ctr" overlay="0">
      <cx:tx>
        <cx:txData>
          <cx:v>Lead to Delivery FUNNEL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Lead to Delivery FUNNEL Analysis</a:t>
          </a:r>
        </a:p>
      </cx:txPr>
    </cx:title>
    <cx:plotArea>
      <cx:plotAreaRegion>
        <cx:series layoutId="funnel" uniqueId="{7562A66F-AA02-4DEB-BB63-CFA84087FC76}" formatIdx="0">
          <cx:tx>
            <cx:txData>
              <cx:f>_xlchart.v2.4</cx:f>
              <cx:v>Total Count</cx:v>
            </cx:txData>
          </cx:tx>
          <cx:dataLabels>
            <cx:visibility seriesName="0" categoryName="0" value="1"/>
          </cx:dataLabels>
          <cx:dataId val="0"/>
        </cx:series>
        <cx:series layoutId="funnel" hidden="1" uniqueId="{F5606341-62BE-4CB7-AE61-BA20F799FAEA}" formatIdx="1">
          <cx:tx>
            <cx:txData>
              <cx:f>_xlchart.v2.6</cx:f>
              <cx:v>% Conversion</cx:v>
            </cx:txData>
          </cx:tx>
          <cx:dataLabels>
            <cx:visibility seriesName="0" categoryName="0" value="1"/>
          </cx:dataLabels>
          <cx:dataId val="1"/>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83821</xdr:rowOff>
    </xdr:from>
    <xdr:to>
      <xdr:col>5</xdr:col>
      <xdr:colOff>464820</xdr:colOff>
      <xdr:row>3</xdr:row>
      <xdr:rowOff>114301</xdr:rowOff>
    </xdr:to>
    <xdr:sp macro="" textlink="">
      <xdr:nvSpPr>
        <xdr:cNvPr id="2" name="Rectangle: Rounded Corners 1">
          <a:extLst>
            <a:ext uri="{FF2B5EF4-FFF2-40B4-BE49-F238E27FC236}">
              <a16:creationId xmlns:a16="http://schemas.microsoft.com/office/drawing/2014/main" id="{CCB030CC-6B97-3B65-1AD3-D5156F96AD87}"/>
            </a:ext>
          </a:extLst>
        </xdr:cNvPr>
        <xdr:cNvSpPr/>
      </xdr:nvSpPr>
      <xdr:spPr>
        <a:xfrm>
          <a:off x="68580" y="83821"/>
          <a:ext cx="3444240" cy="716280"/>
        </a:xfrm>
        <a:prstGeom prst="roundRect">
          <a:avLst>
            <a:gd name="adj" fmla="val 977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3</xdr:row>
      <xdr:rowOff>220980</xdr:rowOff>
    </xdr:from>
    <xdr:to>
      <xdr:col>2</xdr:col>
      <xdr:colOff>171179</xdr:colOff>
      <xdr:row>21</xdr:row>
      <xdr:rowOff>144780</xdr:rowOff>
    </xdr:to>
    <xdr:sp macro="" textlink="">
      <xdr:nvSpPr>
        <xdr:cNvPr id="3" name="Rectangle: Rounded Corners 2">
          <a:extLst>
            <a:ext uri="{FF2B5EF4-FFF2-40B4-BE49-F238E27FC236}">
              <a16:creationId xmlns:a16="http://schemas.microsoft.com/office/drawing/2014/main" id="{A8DD3757-72B8-46B1-8678-206037955CCD}"/>
            </a:ext>
          </a:extLst>
        </xdr:cNvPr>
        <xdr:cNvSpPr/>
      </xdr:nvSpPr>
      <xdr:spPr>
        <a:xfrm>
          <a:off x="68580" y="906780"/>
          <a:ext cx="1321799" cy="4038600"/>
        </a:xfrm>
        <a:prstGeom prst="roundRect">
          <a:avLst>
            <a:gd name="adj" fmla="val 977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0</xdr:row>
      <xdr:rowOff>91441</xdr:rowOff>
    </xdr:from>
    <xdr:to>
      <xdr:col>22</xdr:col>
      <xdr:colOff>601980</xdr:colOff>
      <xdr:row>3</xdr:row>
      <xdr:rowOff>129541</xdr:rowOff>
    </xdr:to>
    <xdr:sp macro="" textlink="">
      <xdr:nvSpPr>
        <xdr:cNvPr id="4" name="Rectangle: Rounded Corners 3">
          <a:extLst>
            <a:ext uri="{FF2B5EF4-FFF2-40B4-BE49-F238E27FC236}">
              <a16:creationId xmlns:a16="http://schemas.microsoft.com/office/drawing/2014/main" id="{38A20CAD-383A-425B-BB93-F214FA4D352A}"/>
            </a:ext>
          </a:extLst>
        </xdr:cNvPr>
        <xdr:cNvSpPr/>
      </xdr:nvSpPr>
      <xdr:spPr>
        <a:xfrm>
          <a:off x="3581400" y="91441"/>
          <a:ext cx="10431780" cy="723900"/>
        </a:xfrm>
        <a:prstGeom prst="roundRect">
          <a:avLst>
            <a:gd name="adj" fmla="val 977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228602</xdr:colOff>
      <xdr:row>3</xdr:row>
      <xdr:rowOff>198120</xdr:rowOff>
    </xdr:from>
    <xdr:to>
      <xdr:col>7</xdr:col>
      <xdr:colOff>528676</xdr:colOff>
      <xdr:row>12</xdr:row>
      <xdr:rowOff>137272</xdr:rowOff>
    </xdr:to>
    <xdr:sp macro="" textlink="">
      <xdr:nvSpPr>
        <xdr:cNvPr id="6" name="Rectangle: Rounded Corners 5">
          <a:extLst>
            <a:ext uri="{FF2B5EF4-FFF2-40B4-BE49-F238E27FC236}">
              <a16:creationId xmlns:a16="http://schemas.microsoft.com/office/drawing/2014/main" id="{D16CD84A-A322-487A-B143-71E156E2E8D4}"/>
            </a:ext>
          </a:extLst>
        </xdr:cNvPr>
        <xdr:cNvSpPr/>
      </xdr:nvSpPr>
      <xdr:spPr>
        <a:xfrm>
          <a:off x="1447802" y="883920"/>
          <a:ext cx="3348074" cy="1996552"/>
        </a:xfrm>
        <a:prstGeom prst="roundRect">
          <a:avLst>
            <a:gd name="adj" fmla="val 4719"/>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243840</xdr:colOff>
      <xdr:row>3</xdr:row>
      <xdr:rowOff>213360</xdr:rowOff>
    </xdr:from>
    <xdr:to>
      <xdr:col>7</xdr:col>
      <xdr:colOff>525779</xdr:colOff>
      <xdr:row>12</xdr:row>
      <xdr:rowOff>123883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A49554B-E38C-413A-B76D-2093F652C6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63040" y="899160"/>
              <a:ext cx="3428999" cy="19679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7622</xdr:colOff>
      <xdr:row>3</xdr:row>
      <xdr:rowOff>198120</xdr:rowOff>
    </xdr:from>
    <xdr:to>
      <xdr:col>13</xdr:col>
      <xdr:colOff>307696</xdr:colOff>
      <xdr:row>12</xdr:row>
      <xdr:rowOff>137272</xdr:rowOff>
    </xdr:to>
    <xdr:sp macro="" textlink="">
      <xdr:nvSpPr>
        <xdr:cNvPr id="9" name="Rectangle: Rounded Corners 8">
          <a:extLst>
            <a:ext uri="{FF2B5EF4-FFF2-40B4-BE49-F238E27FC236}">
              <a16:creationId xmlns:a16="http://schemas.microsoft.com/office/drawing/2014/main" id="{E8051104-1DF9-4436-958F-BA4E980C66AA}"/>
            </a:ext>
          </a:extLst>
        </xdr:cNvPr>
        <xdr:cNvSpPr/>
      </xdr:nvSpPr>
      <xdr:spPr>
        <a:xfrm>
          <a:off x="4884422" y="883920"/>
          <a:ext cx="3348074" cy="1996552"/>
        </a:xfrm>
        <a:prstGeom prst="roundRect">
          <a:avLst>
            <a:gd name="adj" fmla="val 4719"/>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xdr:colOff>
      <xdr:row>3</xdr:row>
      <xdr:rowOff>220980</xdr:rowOff>
    </xdr:from>
    <xdr:to>
      <xdr:col>13</xdr:col>
      <xdr:colOff>272811</xdr:colOff>
      <xdr:row>12</xdr:row>
      <xdr:rowOff>114158</xdr:rowOff>
    </xdr:to>
    <xdr:graphicFrame macro="">
      <xdr:nvGraphicFramePr>
        <xdr:cNvPr id="11" name="Chart 10">
          <a:extLst>
            <a:ext uri="{FF2B5EF4-FFF2-40B4-BE49-F238E27FC236}">
              <a16:creationId xmlns:a16="http://schemas.microsoft.com/office/drawing/2014/main" id="{3F8501B7-114E-48CE-9F39-98DE25DAB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403861</xdr:colOff>
      <xdr:row>3</xdr:row>
      <xdr:rowOff>198120</xdr:rowOff>
    </xdr:from>
    <xdr:to>
      <xdr:col>23</xdr:col>
      <xdr:colOff>0</xdr:colOff>
      <xdr:row>12</xdr:row>
      <xdr:rowOff>137272</xdr:rowOff>
    </xdr:to>
    <xdr:sp macro="" textlink="">
      <xdr:nvSpPr>
        <xdr:cNvPr id="13" name="Rectangle: Rounded Corners 12">
          <a:extLst>
            <a:ext uri="{FF2B5EF4-FFF2-40B4-BE49-F238E27FC236}">
              <a16:creationId xmlns:a16="http://schemas.microsoft.com/office/drawing/2014/main" id="{1242309A-F8BC-4ED7-AC5B-52DFD045CDE3}"/>
            </a:ext>
          </a:extLst>
        </xdr:cNvPr>
        <xdr:cNvSpPr/>
      </xdr:nvSpPr>
      <xdr:spPr>
        <a:xfrm>
          <a:off x="8420101" y="883920"/>
          <a:ext cx="5692139" cy="1996552"/>
        </a:xfrm>
        <a:prstGeom prst="roundRect">
          <a:avLst>
            <a:gd name="adj" fmla="val 4719"/>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449580</xdr:colOff>
      <xdr:row>4</xdr:row>
      <xdr:rowOff>7620</xdr:rowOff>
    </xdr:from>
    <xdr:to>
      <xdr:col>22</xdr:col>
      <xdr:colOff>579120</xdr:colOff>
      <xdr:row>12</xdr:row>
      <xdr:rowOff>109696</xdr:rowOff>
    </xdr:to>
    <xdr:graphicFrame macro="">
      <xdr:nvGraphicFramePr>
        <xdr:cNvPr id="14" name="Chart 13">
          <a:extLst>
            <a:ext uri="{FF2B5EF4-FFF2-40B4-BE49-F238E27FC236}">
              <a16:creationId xmlns:a16="http://schemas.microsoft.com/office/drawing/2014/main" id="{CB11F425-D30A-4262-BEA6-A6C7EE2A3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236220</xdr:colOff>
      <xdr:row>12</xdr:row>
      <xdr:rowOff>205741</xdr:rowOff>
    </xdr:from>
    <xdr:to>
      <xdr:col>11</xdr:col>
      <xdr:colOff>421938</xdr:colOff>
      <xdr:row>21</xdr:row>
      <xdr:rowOff>137161</xdr:rowOff>
    </xdr:to>
    <xdr:sp macro="" textlink="">
      <xdr:nvSpPr>
        <xdr:cNvPr id="17" name="Rectangle: Rounded Corners 16">
          <a:extLst>
            <a:ext uri="{FF2B5EF4-FFF2-40B4-BE49-F238E27FC236}">
              <a16:creationId xmlns:a16="http://schemas.microsoft.com/office/drawing/2014/main" id="{C1CE46C3-44DA-4E7D-A689-BE6B39E3065F}"/>
            </a:ext>
          </a:extLst>
        </xdr:cNvPr>
        <xdr:cNvSpPr/>
      </xdr:nvSpPr>
      <xdr:spPr>
        <a:xfrm>
          <a:off x="1455420" y="2948941"/>
          <a:ext cx="5672118" cy="1988820"/>
        </a:xfrm>
        <a:prstGeom prst="roundRect">
          <a:avLst>
            <a:gd name="adj" fmla="val 4864"/>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13</xdr:row>
      <xdr:rowOff>7621</xdr:rowOff>
    </xdr:from>
    <xdr:to>
      <xdr:col>11</xdr:col>
      <xdr:colOff>388620</xdr:colOff>
      <xdr:row>21</xdr:row>
      <xdr:rowOff>106680</xdr:rowOff>
    </xdr:to>
    <xdr:graphicFrame macro="">
      <xdr:nvGraphicFramePr>
        <xdr:cNvPr id="19" name="Chart 18">
          <a:extLst>
            <a:ext uri="{FF2B5EF4-FFF2-40B4-BE49-F238E27FC236}">
              <a16:creationId xmlns:a16="http://schemas.microsoft.com/office/drawing/2014/main" id="{F19C0826-F2D8-4879-B2D2-97B7418C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281941</xdr:colOff>
      <xdr:row>13</xdr:row>
      <xdr:rowOff>7621</xdr:rowOff>
    </xdr:from>
    <xdr:to>
      <xdr:col>5</xdr:col>
      <xdr:colOff>503723</xdr:colOff>
      <xdr:row>21</xdr:row>
      <xdr:rowOff>106681</xdr:rowOff>
    </xdr:to>
    <xdr:graphicFrame macro="">
      <xdr:nvGraphicFramePr>
        <xdr:cNvPr id="20" name="Chart 19">
          <a:extLst>
            <a:ext uri="{FF2B5EF4-FFF2-40B4-BE49-F238E27FC236}">
              <a16:creationId xmlns:a16="http://schemas.microsoft.com/office/drawing/2014/main" id="{3ABEC3E0-B082-4782-98F9-A665EBCA5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502920</xdr:colOff>
      <xdr:row>12</xdr:row>
      <xdr:rowOff>205741</xdr:rowOff>
    </xdr:from>
    <xdr:to>
      <xdr:col>23</xdr:col>
      <xdr:colOff>15240</xdr:colOff>
      <xdr:row>21</xdr:row>
      <xdr:rowOff>121921</xdr:rowOff>
    </xdr:to>
    <xdr:sp macro="" textlink="">
      <xdr:nvSpPr>
        <xdr:cNvPr id="21" name="Rectangle: Rounded Corners 20">
          <a:extLst>
            <a:ext uri="{FF2B5EF4-FFF2-40B4-BE49-F238E27FC236}">
              <a16:creationId xmlns:a16="http://schemas.microsoft.com/office/drawing/2014/main" id="{4EF154AC-384E-45D9-B96C-5F78486C0479}"/>
            </a:ext>
          </a:extLst>
        </xdr:cNvPr>
        <xdr:cNvSpPr/>
      </xdr:nvSpPr>
      <xdr:spPr>
        <a:xfrm>
          <a:off x="7208520" y="2948941"/>
          <a:ext cx="6827520" cy="1973580"/>
        </a:xfrm>
        <a:prstGeom prst="roundRect">
          <a:avLst>
            <a:gd name="adj" fmla="val 4864"/>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548640</xdr:colOff>
      <xdr:row>13</xdr:row>
      <xdr:rowOff>0</xdr:rowOff>
    </xdr:from>
    <xdr:to>
      <xdr:col>18</xdr:col>
      <xdr:colOff>358140</xdr:colOff>
      <xdr:row>21</xdr:row>
      <xdr:rowOff>83820</xdr:rowOff>
    </xdr:to>
    <xdr:graphicFrame macro="">
      <xdr:nvGraphicFramePr>
        <xdr:cNvPr id="22" name="Chart 21">
          <a:extLst>
            <a:ext uri="{FF2B5EF4-FFF2-40B4-BE49-F238E27FC236}">
              <a16:creationId xmlns:a16="http://schemas.microsoft.com/office/drawing/2014/main" id="{ABFB1F29-F7FA-4F2E-8C57-CE2C4D1E6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411480</xdr:colOff>
      <xdr:row>13</xdr:row>
      <xdr:rowOff>7621</xdr:rowOff>
    </xdr:from>
    <xdr:to>
      <xdr:col>22</xdr:col>
      <xdr:colOff>571500</xdr:colOff>
      <xdr:row>21</xdr:row>
      <xdr:rowOff>60961</xdr:rowOff>
    </xdr:to>
    <xdr:graphicFrame macro="">
      <xdr:nvGraphicFramePr>
        <xdr:cNvPr id="23" name="Chart 22">
          <a:extLst>
            <a:ext uri="{FF2B5EF4-FFF2-40B4-BE49-F238E27FC236}">
              <a16:creationId xmlns:a16="http://schemas.microsoft.com/office/drawing/2014/main" id="{251D7B3E-229B-4920-ABFF-421DE1C7E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99060</xdr:colOff>
      <xdr:row>5</xdr:row>
      <xdr:rowOff>106680</xdr:rowOff>
    </xdr:from>
    <xdr:to>
      <xdr:col>2</xdr:col>
      <xdr:colOff>143558</xdr:colOff>
      <xdr:row>11</xdr:row>
      <xdr:rowOff>22860</xdr:rowOff>
    </xdr:to>
    <mc:AlternateContent xmlns:mc="http://schemas.openxmlformats.org/markup-compatibility/2006" xmlns:sle15="http://schemas.microsoft.com/office/drawing/2012/slicer">
      <mc:Choice Requires="sle15">
        <xdr:graphicFrame macro="">
          <xdr:nvGraphicFramePr>
            <xdr:cNvPr id="5" name="Steps 1">
              <a:extLst>
                <a:ext uri="{FF2B5EF4-FFF2-40B4-BE49-F238E27FC236}">
                  <a16:creationId xmlns:a16="http://schemas.microsoft.com/office/drawing/2014/main" id="{485D4983-2EBD-442A-94B6-731762FF395E}"/>
                </a:ext>
              </a:extLst>
            </xdr:cNvPr>
            <xdr:cNvGraphicFramePr/>
          </xdr:nvGraphicFramePr>
          <xdr:xfrm>
            <a:off x="0" y="0"/>
            <a:ext cx="0" cy="0"/>
          </xdr:xfrm>
          <a:graphic>
            <a:graphicData uri="http://schemas.microsoft.com/office/drawing/2010/slicer">
              <sle:slicer xmlns:sle="http://schemas.microsoft.com/office/drawing/2010/slicer" name="Steps 1"/>
            </a:graphicData>
          </a:graphic>
        </xdr:graphicFrame>
      </mc:Choice>
      <mc:Fallback xmlns="">
        <xdr:sp macro="" textlink="">
          <xdr:nvSpPr>
            <xdr:cNvPr id="0" name=""/>
            <xdr:cNvSpPr>
              <a:spLocks noTextEdit="1"/>
            </xdr:cNvSpPr>
          </xdr:nvSpPr>
          <xdr:spPr>
            <a:xfrm>
              <a:off x="99060" y="1249680"/>
              <a:ext cx="1263698" cy="12877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106681</xdr:colOff>
      <xdr:row>11</xdr:row>
      <xdr:rowOff>45720</xdr:rowOff>
    </xdr:from>
    <xdr:to>
      <xdr:col>2</xdr:col>
      <xdr:colOff>129541</xdr:colOff>
      <xdr:row>16</xdr:row>
      <xdr:rowOff>198120</xdr:rowOff>
    </xdr:to>
    <mc:AlternateContent xmlns:mc="http://schemas.openxmlformats.org/markup-compatibility/2006" xmlns:a14="http://schemas.microsoft.com/office/drawing/2010/main">
      <mc:Choice Requires="a14">
        <xdr:graphicFrame macro="">
          <xdr:nvGraphicFramePr>
            <xdr:cNvPr id="8" name="Store Name 1">
              <a:extLst>
                <a:ext uri="{FF2B5EF4-FFF2-40B4-BE49-F238E27FC236}">
                  <a16:creationId xmlns:a16="http://schemas.microsoft.com/office/drawing/2014/main" id="{4A9645DE-C0F3-425C-BB02-5ECADF65D57D}"/>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06681" y="2560320"/>
              <a:ext cx="124206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0</xdr:row>
      <xdr:rowOff>83821</xdr:rowOff>
    </xdr:from>
    <xdr:to>
      <xdr:col>5</xdr:col>
      <xdr:colOff>274320</xdr:colOff>
      <xdr:row>1</xdr:row>
      <xdr:rowOff>205741</xdr:rowOff>
    </xdr:to>
    <xdr:pic>
      <xdr:nvPicPr>
        <xdr:cNvPr id="12" name="Picture 11">
          <a:extLst>
            <a:ext uri="{FF2B5EF4-FFF2-40B4-BE49-F238E27FC236}">
              <a16:creationId xmlns:a16="http://schemas.microsoft.com/office/drawing/2014/main" id="{ADE810E3-245B-C5A0-9CAB-121908BCD9B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7640" y="83821"/>
          <a:ext cx="3200400" cy="350520"/>
        </a:xfrm>
        <a:prstGeom prst="rect">
          <a:avLst/>
        </a:prstGeom>
      </xdr:spPr>
    </xdr:pic>
    <xdr:clientData/>
  </xdr:twoCellAnchor>
  <xdr:twoCellAnchor>
    <xdr:from>
      <xdr:col>0</xdr:col>
      <xdr:colOff>83820</xdr:colOff>
      <xdr:row>1</xdr:row>
      <xdr:rowOff>160020</xdr:rowOff>
    </xdr:from>
    <xdr:to>
      <xdr:col>5</xdr:col>
      <xdr:colOff>472440</xdr:colOff>
      <xdr:row>2</xdr:row>
      <xdr:rowOff>182880</xdr:rowOff>
    </xdr:to>
    <xdr:sp macro="" textlink="">
      <xdr:nvSpPr>
        <xdr:cNvPr id="15" name="TextBox 14">
          <a:extLst>
            <a:ext uri="{FF2B5EF4-FFF2-40B4-BE49-F238E27FC236}">
              <a16:creationId xmlns:a16="http://schemas.microsoft.com/office/drawing/2014/main" id="{75370A96-159F-DCD6-471D-79286BFAE036}"/>
            </a:ext>
          </a:extLst>
        </xdr:cNvPr>
        <xdr:cNvSpPr txBox="1"/>
      </xdr:nvSpPr>
      <xdr:spPr>
        <a:xfrm>
          <a:off x="83820" y="388620"/>
          <a:ext cx="3436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t>Lead-to-Delivery</a:t>
          </a:r>
          <a:r>
            <a:rPr lang="en-IN" sz="1600" b="0" baseline="0"/>
            <a:t> </a:t>
          </a:r>
          <a:r>
            <a:rPr lang="en-IN" sz="1550" b="0" baseline="0"/>
            <a:t>Analysis</a:t>
          </a:r>
          <a:endParaRPr lang="en-IN" sz="1550" b="0"/>
        </a:p>
      </xdr:txBody>
    </xdr:sp>
    <xdr:clientData/>
  </xdr:twoCellAnchor>
  <xdr:twoCellAnchor>
    <xdr:from>
      <xdr:col>0</xdr:col>
      <xdr:colOff>106680</xdr:colOff>
      <xdr:row>2</xdr:row>
      <xdr:rowOff>129540</xdr:rowOff>
    </xdr:from>
    <xdr:to>
      <xdr:col>5</xdr:col>
      <xdr:colOff>464820</xdr:colOff>
      <xdr:row>3</xdr:row>
      <xdr:rowOff>152400</xdr:rowOff>
    </xdr:to>
    <xdr:sp macro="" textlink="">
      <xdr:nvSpPr>
        <xdr:cNvPr id="18" name="TextBox 17">
          <a:extLst>
            <a:ext uri="{FF2B5EF4-FFF2-40B4-BE49-F238E27FC236}">
              <a16:creationId xmlns:a16="http://schemas.microsoft.com/office/drawing/2014/main" id="{C37BBFBF-544C-4832-814B-D46F5FD62DBC}"/>
            </a:ext>
          </a:extLst>
        </xdr:cNvPr>
        <xdr:cNvSpPr txBox="1"/>
      </xdr:nvSpPr>
      <xdr:spPr>
        <a:xfrm>
          <a:off x="106680" y="586740"/>
          <a:ext cx="3406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0"/>
            <a:t>DASHBOARD</a:t>
          </a:r>
        </a:p>
      </xdr:txBody>
    </xdr:sp>
    <xdr:clientData/>
  </xdr:twoCellAnchor>
  <xdr:twoCellAnchor>
    <xdr:from>
      <xdr:col>20</xdr:col>
      <xdr:colOff>106680</xdr:colOff>
      <xdr:row>0</xdr:row>
      <xdr:rowOff>137160</xdr:rowOff>
    </xdr:from>
    <xdr:to>
      <xdr:col>22</xdr:col>
      <xdr:colOff>533400</xdr:colOff>
      <xdr:row>3</xdr:row>
      <xdr:rowOff>83820</xdr:rowOff>
    </xdr:to>
    <xdr:sp macro="" textlink="">
      <xdr:nvSpPr>
        <xdr:cNvPr id="32" name="Rectangle: Rounded Corners 31">
          <a:extLst>
            <a:ext uri="{FF2B5EF4-FFF2-40B4-BE49-F238E27FC236}">
              <a16:creationId xmlns:a16="http://schemas.microsoft.com/office/drawing/2014/main" id="{5FCB7DF9-3846-4D26-8DB9-E151ED326C72}"/>
            </a:ext>
          </a:extLst>
        </xdr:cNvPr>
        <xdr:cNvSpPr/>
      </xdr:nvSpPr>
      <xdr:spPr>
        <a:xfrm>
          <a:off x="12298680" y="137160"/>
          <a:ext cx="1645920" cy="63246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106680</xdr:colOff>
      <xdr:row>0</xdr:row>
      <xdr:rowOff>152400</xdr:rowOff>
    </xdr:from>
    <xdr:to>
      <xdr:col>22</xdr:col>
      <xdr:colOff>541020</xdr:colOff>
      <xdr:row>1</xdr:row>
      <xdr:rowOff>190500</xdr:rowOff>
    </xdr:to>
    <xdr:sp macro="" textlink="">
      <xdr:nvSpPr>
        <xdr:cNvPr id="33" name="TextBox 32">
          <a:extLst>
            <a:ext uri="{FF2B5EF4-FFF2-40B4-BE49-F238E27FC236}">
              <a16:creationId xmlns:a16="http://schemas.microsoft.com/office/drawing/2014/main" id="{855C0F4B-C627-47B3-9C29-840F874DE41D}"/>
            </a:ext>
          </a:extLst>
        </xdr:cNvPr>
        <xdr:cNvSpPr txBox="1"/>
      </xdr:nvSpPr>
      <xdr:spPr>
        <a:xfrm>
          <a:off x="12298680" y="152400"/>
          <a:ext cx="16535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Avg. NPS</a:t>
          </a:r>
        </a:p>
      </xdr:txBody>
    </xdr:sp>
    <xdr:clientData/>
  </xdr:twoCellAnchor>
  <xdr:twoCellAnchor>
    <xdr:from>
      <xdr:col>17</xdr:col>
      <xdr:colOff>205740</xdr:colOff>
      <xdr:row>0</xdr:row>
      <xdr:rowOff>137160</xdr:rowOff>
    </xdr:from>
    <xdr:to>
      <xdr:col>20</xdr:col>
      <xdr:colOff>22860</xdr:colOff>
      <xdr:row>3</xdr:row>
      <xdr:rowOff>83820</xdr:rowOff>
    </xdr:to>
    <xdr:sp macro="" textlink="">
      <xdr:nvSpPr>
        <xdr:cNvPr id="34" name="Rectangle: Rounded Corners 33">
          <a:extLst>
            <a:ext uri="{FF2B5EF4-FFF2-40B4-BE49-F238E27FC236}">
              <a16:creationId xmlns:a16="http://schemas.microsoft.com/office/drawing/2014/main" id="{023F2203-04A8-4726-A0BC-DDE2E7E413D8}"/>
            </a:ext>
          </a:extLst>
        </xdr:cNvPr>
        <xdr:cNvSpPr/>
      </xdr:nvSpPr>
      <xdr:spPr>
        <a:xfrm>
          <a:off x="10568940" y="137160"/>
          <a:ext cx="1645920" cy="63246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312420</xdr:colOff>
      <xdr:row>0</xdr:row>
      <xdr:rowOff>137160</xdr:rowOff>
    </xdr:from>
    <xdr:to>
      <xdr:col>17</xdr:col>
      <xdr:colOff>129540</xdr:colOff>
      <xdr:row>3</xdr:row>
      <xdr:rowOff>83820</xdr:rowOff>
    </xdr:to>
    <xdr:sp macro="" textlink="">
      <xdr:nvSpPr>
        <xdr:cNvPr id="35" name="Rectangle: Rounded Corners 34">
          <a:extLst>
            <a:ext uri="{FF2B5EF4-FFF2-40B4-BE49-F238E27FC236}">
              <a16:creationId xmlns:a16="http://schemas.microsoft.com/office/drawing/2014/main" id="{FD329AEB-114A-4729-8F64-4D0348171BBB}"/>
            </a:ext>
          </a:extLst>
        </xdr:cNvPr>
        <xdr:cNvSpPr/>
      </xdr:nvSpPr>
      <xdr:spPr>
        <a:xfrm>
          <a:off x="8846820" y="137160"/>
          <a:ext cx="1645920" cy="63246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419100</xdr:colOff>
      <xdr:row>0</xdr:row>
      <xdr:rowOff>137160</xdr:rowOff>
    </xdr:from>
    <xdr:to>
      <xdr:col>14</xdr:col>
      <xdr:colOff>236220</xdr:colOff>
      <xdr:row>3</xdr:row>
      <xdr:rowOff>83820</xdr:rowOff>
    </xdr:to>
    <xdr:sp macro="" textlink="">
      <xdr:nvSpPr>
        <xdr:cNvPr id="36" name="Rectangle: Rounded Corners 35">
          <a:extLst>
            <a:ext uri="{FF2B5EF4-FFF2-40B4-BE49-F238E27FC236}">
              <a16:creationId xmlns:a16="http://schemas.microsoft.com/office/drawing/2014/main" id="{CACBDD97-9649-42EE-A687-E0869D9DE273}"/>
            </a:ext>
          </a:extLst>
        </xdr:cNvPr>
        <xdr:cNvSpPr/>
      </xdr:nvSpPr>
      <xdr:spPr>
        <a:xfrm>
          <a:off x="7124700" y="137160"/>
          <a:ext cx="1645920" cy="63246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518160</xdr:colOff>
      <xdr:row>0</xdr:row>
      <xdr:rowOff>137160</xdr:rowOff>
    </xdr:from>
    <xdr:to>
      <xdr:col>11</xdr:col>
      <xdr:colOff>335280</xdr:colOff>
      <xdr:row>3</xdr:row>
      <xdr:rowOff>83820</xdr:rowOff>
    </xdr:to>
    <xdr:sp macro="" textlink="">
      <xdr:nvSpPr>
        <xdr:cNvPr id="37" name="Rectangle: Rounded Corners 36">
          <a:extLst>
            <a:ext uri="{FF2B5EF4-FFF2-40B4-BE49-F238E27FC236}">
              <a16:creationId xmlns:a16="http://schemas.microsoft.com/office/drawing/2014/main" id="{AEC070F4-A38F-4A34-9FBE-9A50F721CD16}"/>
            </a:ext>
          </a:extLst>
        </xdr:cNvPr>
        <xdr:cNvSpPr/>
      </xdr:nvSpPr>
      <xdr:spPr>
        <a:xfrm>
          <a:off x="5394960" y="137160"/>
          <a:ext cx="1645920" cy="63246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7620</xdr:colOff>
      <xdr:row>0</xdr:row>
      <xdr:rowOff>137160</xdr:rowOff>
    </xdr:from>
    <xdr:to>
      <xdr:col>8</xdr:col>
      <xdr:colOff>434340</xdr:colOff>
      <xdr:row>3</xdr:row>
      <xdr:rowOff>83820</xdr:rowOff>
    </xdr:to>
    <xdr:sp macro="" textlink="">
      <xdr:nvSpPr>
        <xdr:cNvPr id="38" name="Rectangle: Rounded Corners 37">
          <a:extLst>
            <a:ext uri="{FF2B5EF4-FFF2-40B4-BE49-F238E27FC236}">
              <a16:creationId xmlns:a16="http://schemas.microsoft.com/office/drawing/2014/main" id="{C4FC62A5-7486-43F5-A489-0974286D7C05}"/>
            </a:ext>
          </a:extLst>
        </xdr:cNvPr>
        <xdr:cNvSpPr/>
      </xdr:nvSpPr>
      <xdr:spPr>
        <a:xfrm>
          <a:off x="3665220" y="137160"/>
          <a:ext cx="1645920" cy="63246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xdr:colOff>
      <xdr:row>0</xdr:row>
      <xdr:rowOff>152400</xdr:rowOff>
    </xdr:from>
    <xdr:to>
      <xdr:col>8</xdr:col>
      <xdr:colOff>426720</xdr:colOff>
      <xdr:row>1</xdr:row>
      <xdr:rowOff>190500</xdr:rowOff>
    </xdr:to>
    <xdr:sp macro="" textlink="">
      <xdr:nvSpPr>
        <xdr:cNvPr id="39" name="TextBox 38">
          <a:extLst>
            <a:ext uri="{FF2B5EF4-FFF2-40B4-BE49-F238E27FC236}">
              <a16:creationId xmlns:a16="http://schemas.microsoft.com/office/drawing/2014/main" id="{0C934786-8A32-4DCE-90F4-BBC43CD11BB4}"/>
            </a:ext>
          </a:extLst>
        </xdr:cNvPr>
        <xdr:cNvSpPr txBox="1"/>
      </xdr:nvSpPr>
      <xdr:spPr>
        <a:xfrm>
          <a:off x="3771900" y="152400"/>
          <a:ext cx="1630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Total Leads</a:t>
          </a:r>
        </a:p>
      </xdr:txBody>
    </xdr:sp>
    <xdr:clientData/>
  </xdr:twoCellAnchor>
  <xdr:twoCellAnchor>
    <xdr:from>
      <xdr:col>8</xdr:col>
      <xdr:colOff>533400</xdr:colOff>
      <xdr:row>0</xdr:row>
      <xdr:rowOff>152400</xdr:rowOff>
    </xdr:from>
    <xdr:to>
      <xdr:col>11</xdr:col>
      <xdr:colOff>335280</xdr:colOff>
      <xdr:row>1</xdr:row>
      <xdr:rowOff>220980</xdr:rowOff>
    </xdr:to>
    <xdr:sp macro="" textlink="">
      <xdr:nvSpPr>
        <xdr:cNvPr id="40" name="TextBox 39">
          <a:extLst>
            <a:ext uri="{FF2B5EF4-FFF2-40B4-BE49-F238E27FC236}">
              <a16:creationId xmlns:a16="http://schemas.microsoft.com/office/drawing/2014/main" id="{9D7651C0-C853-4203-9D77-4A159E3BCADB}"/>
            </a:ext>
          </a:extLst>
        </xdr:cNvPr>
        <xdr:cNvSpPr txBox="1"/>
      </xdr:nvSpPr>
      <xdr:spPr>
        <a:xfrm>
          <a:off x="5524500" y="152400"/>
          <a:ext cx="1630680" cy="2971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mn-lt"/>
              <a:ea typeface="+mn-ea"/>
              <a:cs typeface="+mn-cs"/>
            </a:rPr>
            <a:t>Conversion</a:t>
          </a:r>
          <a:r>
            <a:rPr lang="en-IN" sz="1200" b="1" baseline="0">
              <a:solidFill>
                <a:schemeClr val="tx1"/>
              </a:solidFill>
              <a:latin typeface="+mn-lt"/>
              <a:ea typeface="+mn-ea"/>
              <a:cs typeface="+mn-cs"/>
            </a:rPr>
            <a:t> Rate(%)</a:t>
          </a:r>
          <a:endParaRPr lang="en-IN" sz="1200" b="1">
            <a:solidFill>
              <a:schemeClr val="tx1"/>
            </a:solidFill>
          </a:endParaRPr>
        </a:p>
      </xdr:txBody>
    </xdr:sp>
    <xdr:clientData/>
  </xdr:twoCellAnchor>
  <xdr:twoCellAnchor>
    <xdr:from>
      <xdr:col>11</xdr:col>
      <xdr:colOff>426720</xdr:colOff>
      <xdr:row>0</xdr:row>
      <xdr:rowOff>160020</xdr:rowOff>
    </xdr:from>
    <xdr:to>
      <xdr:col>14</xdr:col>
      <xdr:colOff>228600</xdr:colOff>
      <xdr:row>1</xdr:row>
      <xdr:rowOff>198120</xdr:rowOff>
    </xdr:to>
    <xdr:sp macro="" textlink="">
      <xdr:nvSpPr>
        <xdr:cNvPr id="41" name="TextBox 40">
          <a:extLst>
            <a:ext uri="{FF2B5EF4-FFF2-40B4-BE49-F238E27FC236}">
              <a16:creationId xmlns:a16="http://schemas.microsoft.com/office/drawing/2014/main" id="{307FB3EE-358F-427C-80A7-F23768904A63}"/>
            </a:ext>
          </a:extLst>
        </xdr:cNvPr>
        <xdr:cNvSpPr txBox="1"/>
      </xdr:nvSpPr>
      <xdr:spPr>
        <a:xfrm>
          <a:off x="7246620" y="160020"/>
          <a:ext cx="1630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50" b="1">
              <a:solidFill>
                <a:schemeClr val="tx1"/>
              </a:solidFill>
            </a:rPr>
            <a:t>Cancellation Rate(%)</a:t>
          </a:r>
        </a:p>
      </xdr:txBody>
    </xdr:sp>
    <xdr:clientData/>
  </xdr:twoCellAnchor>
  <xdr:twoCellAnchor>
    <xdr:from>
      <xdr:col>14</xdr:col>
      <xdr:colOff>327660</xdr:colOff>
      <xdr:row>0</xdr:row>
      <xdr:rowOff>182880</xdr:rowOff>
    </xdr:from>
    <xdr:to>
      <xdr:col>17</xdr:col>
      <xdr:colOff>129540</xdr:colOff>
      <xdr:row>1</xdr:row>
      <xdr:rowOff>220980</xdr:rowOff>
    </xdr:to>
    <xdr:sp macro="" textlink="">
      <xdr:nvSpPr>
        <xdr:cNvPr id="42" name="TextBox 41">
          <a:extLst>
            <a:ext uri="{FF2B5EF4-FFF2-40B4-BE49-F238E27FC236}">
              <a16:creationId xmlns:a16="http://schemas.microsoft.com/office/drawing/2014/main" id="{78544AF2-6194-4BB3-9A3C-D33CAC1AA02F}"/>
            </a:ext>
          </a:extLst>
        </xdr:cNvPr>
        <xdr:cNvSpPr txBox="1"/>
      </xdr:nvSpPr>
      <xdr:spPr>
        <a:xfrm>
          <a:off x="8976360" y="182880"/>
          <a:ext cx="1630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tx1"/>
              </a:solidFill>
            </a:rPr>
            <a:t>Avg. Customer Rating</a:t>
          </a:r>
        </a:p>
      </xdr:txBody>
    </xdr:sp>
    <xdr:clientData/>
  </xdr:twoCellAnchor>
  <xdr:twoCellAnchor>
    <xdr:from>
      <xdr:col>17</xdr:col>
      <xdr:colOff>228600</xdr:colOff>
      <xdr:row>0</xdr:row>
      <xdr:rowOff>152400</xdr:rowOff>
    </xdr:from>
    <xdr:to>
      <xdr:col>20</xdr:col>
      <xdr:colOff>30480</xdr:colOff>
      <xdr:row>1</xdr:row>
      <xdr:rowOff>190500</xdr:rowOff>
    </xdr:to>
    <xdr:sp macro="" textlink="">
      <xdr:nvSpPr>
        <xdr:cNvPr id="43" name="TextBox 42">
          <a:extLst>
            <a:ext uri="{FF2B5EF4-FFF2-40B4-BE49-F238E27FC236}">
              <a16:creationId xmlns:a16="http://schemas.microsoft.com/office/drawing/2014/main" id="{0FC7C679-B691-45D6-849B-FCBC563CC35D}"/>
            </a:ext>
          </a:extLst>
        </xdr:cNvPr>
        <xdr:cNvSpPr txBox="1"/>
      </xdr:nvSpPr>
      <xdr:spPr>
        <a:xfrm>
          <a:off x="10591800" y="152400"/>
          <a:ext cx="1630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Avg. Total TAT</a:t>
          </a:r>
        </a:p>
      </xdr:txBody>
    </xdr:sp>
    <xdr:clientData/>
  </xdr:twoCellAnchor>
  <xdr:twoCellAnchor>
    <xdr:from>
      <xdr:col>6</xdr:col>
      <xdr:colOff>30480</xdr:colOff>
      <xdr:row>0</xdr:row>
      <xdr:rowOff>160020</xdr:rowOff>
    </xdr:from>
    <xdr:to>
      <xdr:col>8</xdr:col>
      <xdr:colOff>441960</xdr:colOff>
      <xdr:row>3</xdr:row>
      <xdr:rowOff>68580</xdr:rowOff>
    </xdr:to>
    <xdr:sp macro="" textlink="E24">
      <xdr:nvSpPr>
        <xdr:cNvPr id="16" name="TextBox 15">
          <a:extLst>
            <a:ext uri="{FF2B5EF4-FFF2-40B4-BE49-F238E27FC236}">
              <a16:creationId xmlns:a16="http://schemas.microsoft.com/office/drawing/2014/main" id="{A2E2EFE4-9ED2-447F-A760-1C2A838BFFCC}"/>
            </a:ext>
          </a:extLst>
        </xdr:cNvPr>
        <xdr:cNvSpPr txBox="1"/>
      </xdr:nvSpPr>
      <xdr:spPr>
        <a:xfrm>
          <a:off x="3787140" y="160020"/>
          <a:ext cx="16306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D7380A6-1154-4F47-B975-5600D64C200F}" type="TxLink">
            <a:rPr lang="en-US" sz="1600" b="0" i="0" u="none" strike="noStrike">
              <a:solidFill>
                <a:srgbClr val="000000"/>
              </a:solidFill>
              <a:latin typeface="Arial Black" panose="020B0A04020102020204" pitchFamily="34" charset="0"/>
            </a:rPr>
            <a:pPr algn="ctr"/>
            <a:t>1000</a:t>
          </a:fld>
          <a:endParaRPr lang="en-IN" sz="2000" b="1">
            <a:solidFill>
              <a:schemeClr val="tx1"/>
            </a:solidFill>
            <a:latin typeface="Arial Black" panose="020B0A04020102020204" pitchFamily="34" charset="0"/>
          </a:endParaRPr>
        </a:p>
      </xdr:txBody>
    </xdr:sp>
    <xdr:clientData/>
  </xdr:twoCellAnchor>
  <xdr:twoCellAnchor>
    <xdr:from>
      <xdr:col>9</xdr:col>
      <xdr:colOff>38100</xdr:colOff>
      <xdr:row>0</xdr:row>
      <xdr:rowOff>167640</xdr:rowOff>
    </xdr:from>
    <xdr:to>
      <xdr:col>11</xdr:col>
      <xdr:colOff>228600</xdr:colOff>
      <xdr:row>3</xdr:row>
      <xdr:rowOff>60960</xdr:rowOff>
    </xdr:to>
    <xdr:sp macro="" textlink="F24">
      <xdr:nvSpPr>
        <xdr:cNvPr id="26" name="TextBox 25">
          <a:extLst>
            <a:ext uri="{FF2B5EF4-FFF2-40B4-BE49-F238E27FC236}">
              <a16:creationId xmlns:a16="http://schemas.microsoft.com/office/drawing/2014/main" id="{C9FCDCBB-FF38-4E62-82D0-C051513C62D0}"/>
            </a:ext>
          </a:extLst>
        </xdr:cNvPr>
        <xdr:cNvSpPr txBox="1"/>
      </xdr:nvSpPr>
      <xdr:spPr>
        <a:xfrm>
          <a:off x="5623560" y="167640"/>
          <a:ext cx="140208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C1A52C73-DF38-4071-B4E7-8E4C063A9A28}" type="TxLink">
            <a:rPr lang="en-US" sz="1600" b="0" i="0" u="none" strike="noStrike">
              <a:solidFill>
                <a:srgbClr val="000000"/>
              </a:solidFill>
              <a:latin typeface="Arial Black" panose="020B0A04020102020204" pitchFamily="34" charset="0"/>
              <a:ea typeface="+mn-ea"/>
              <a:cs typeface="+mn-cs"/>
            </a:rPr>
            <a:pPr marL="0" indent="0" algn="ctr"/>
            <a:t>81.2</a:t>
          </a:fld>
          <a:endParaRPr lang="en-IN" sz="1600" b="0" i="0" u="none" strike="noStrike">
            <a:solidFill>
              <a:srgbClr val="000000"/>
            </a:solidFill>
            <a:latin typeface="Arial Black" panose="020B0A04020102020204" pitchFamily="34" charset="0"/>
            <a:ea typeface="+mn-ea"/>
            <a:cs typeface="+mn-cs"/>
          </a:endParaRPr>
        </a:p>
      </xdr:txBody>
    </xdr:sp>
    <xdr:clientData/>
  </xdr:twoCellAnchor>
  <xdr:twoCellAnchor>
    <xdr:from>
      <xdr:col>11</xdr:col>
      <xdr:colOff>441960</xdr:colOff>
      <xdr:row>0</xdr:row>
      <xdr:rowOff>160020</xdr:rowOff>
    </xdr:from>
    <xdr:to>
      <xdr:col>14</xdr:col>
      <xdr:colOff>243840</xdr:colOff>
      <xdr:row>3</xdr:row>
      <xdr:rowOff>68580</xdr:rowOff>
    </xdr:to>
    <xdr:sp macro="" textlink="G24">
      <xdr:nvSpPr>
        <xdr:cNvPr id="27" name="TextBox 26">
          <a:extLst>
            <a:ext uri="{FF2B5EF4-FFF2-40B4-BE49-F238E27FC236}">
              <a16:creationId xmlns:a16="http://schemas.microsoft.com/office/drawing/2014/main" id="{46149251-9711-4E20-ACC9-E2EBA52618DA}"/>
            </a:ext>
          </a:extLst>
        </xdr:cNvPr>
        <xdr:cNvSpPr txBox="1"/>
      </xdr:nvSpPr>
      <xdr:spPr>
        <a:xfrm>
          <a:off x="7239000" y="160020"/>
          <a:ext cx="16306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6ED1F0D8-E25D-4A1A-9D92-04AE2FC02030}" type="TxLink">
            <a:rPr lang="en-US" sz="1600" b="0" i="0" u="none" strike="noStrike">
              <a:solidFill>
                <a:srgbClr val="000000"/>
              </a:solidFill>
              <a:latin typeface="Arial Black" panose="020B0A04020102020204" pitchFamily="34" charset="0"/>
              <a:ea typeface="+mn-ea"/>
              <a:cs typeface="+mn-cs"/>
            </a:rPr>
            <a:pPr marL="0" indent="0" algn="ctr"/>
            <a:t>27.1</a:t>
          </a:fld>
          <a:endParaRPr lang="en-IN" sz="1600" b="0" i="0" u="none" strike="noStrike">
            <a:solidFill>
              <a:srgbClr val="000000"/>
            </a:solidFill>
            <a:latin typeface="Arial Black" panose="020B0A04020102020204" pitchFamily="34" charset="0"/>
            <a:ea typeface="+mn-ea"/>
            <a:cs typeface="+mn-cs"/>
          </a:endParaRPr>
        </a:p>
      </xdr:txBody>
    </xdr:sp>
    <xdr:clientData/>
  </xdr:twoCellAnchor>
  <xdr:twoCellAnchor>
    <xdr:from>
      <xdr:col>14</xdr:col>
      <xdr:colOff>335280</xdr:colOff>
      <xdr:row>0</xdr:row>
      <xdr:rowOff>160020</xdr:rowOff>
    </xdr:from>
    <xdr:to>
      <xdr:col>17</xdr:col>
      <xdr:colOff>137160</xdr:colOff>
      <xdr:row>3</xdr:row>
      <xdr:rowOff>68580</xdr:rowOff>
    </xdr:to>
    <xdr:sp macro="" textlink="H24">
      <xdr:nvSpPr>
        <xdr:cNvPr id="28" name="TextBox 27">
          <a:extLst>
            <a:ext uri="{FF2B5EF4-FFF2-40B4-BE49-F238E27FC236}">
              <a16:creationId xmlns:a16="http://schemas.microsoft.com/office/drawing/2014/main" id="{E0DCFAFC-9B19-4D3F-9728-9670CDCC148E}"/>
            </a:ext>
          </a:extLst>
        </xdr:cNvPr>
        <xdr:cNvSpPr txBox="1"/>
      </xdr:nvSpPr>
      <xdr:spPr>
        <a:xfrm>
          <a:off x="9380220" y="160020"/>
          <a:ext cx="16306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93C1F28F-046F-49EA-9818-637149C8F3ED}" type="TxLink">
            <a:rPr lang="en-US" sz="1600" b="0" i="0" u="none" strike="noStrike">
              <a:solidFill>
                <a:srgbClr val="000000"/>
              </a:solidFill>
              <a:latin typeface="Arial Black" panose="020B0A04020102020204" pitchFamily="34" charset="0"/>
              <a:ea typeface="+mn-ea"/>
              <a:cs typeface="+mn-cs"/>
            </a:rPr>
            <a:pPr marL="0" indent="0" algn="ctr"/>
            <a:t>4.86</a:t>
          </a:fld>
          <a:endParaRPr lang="en-IN" sz="1600" b="0" i="0" u="none" strike="noStrike">
            <a:solidFill>
              <a:srgbClr val="000000"/>
            </a:solidFill>
            <a:latin typeface="Arial Black" panose="020B0A04020102020204" pitchFamily="34" charset="0"/>
            <a:ea typeface="+mn-ea"/>
            <a:cs typeface="+mn-cs"/>
          </a:endParaRPr>
        </a:p>
      </xdr:txBody>
    </xdr:sp>
    <xdr:clientData/>
  </xdr:twoCellAnchor>
  <xdr:twoCellAnchor>
    <xdr:from>
      <xdr:col>17</xdr:col>
      <xdr:colOff>228600</xdr:colOff>
      <xdr:row>0</xdr:row>
      <xdr:rowOff>160020</xdr:rowOff>
    </xdr:from>
    <xdr:to>
      <xdr:col>20</xdr:col>
      <xdr:colOff>30480</xdr:colOff>
      <xdr:row>3</xdr:row>
      <xdr:rowOff>68580</xdr:rowOff>
    </xdr:to>
    <xdr:sp macro="" textlink="I24">
      <xdr:nvSpPr>
        <xdr:cNvPr id="29" name="TextBox 28">
          <a:extLst>
            <a:ext uri="{FF2B5EF4-FFF2-40B4-BE49-F238E27FC236}">
              <a16:creationId xmlns:a16="http://schemas.microsoft.com/office/drawing/2014/main" id="{0A072038-8D50-4266-8111-6964EA909F09}"/>
            </a:ext>
          </a:extLst>
        </xdr:cNvPr>
        <xdr:cNvSpPr txBox="1"/>
      </xdr:nvSpPr>
      <xdr:spPr>
        <a:xfrm>
          <a:off x="10683240" y="160020"/>
          <a:ext cx="16306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4CA67E1E-304E-40A5-AD83-59B5C2A4BC10}" type="TxLink">
            <a:rPr lang="en-US" sz="1600" b="0" i="0" u="none" strike="noStrike">
              <a:solidFill>
                <a:srgbClr val="000000"/>
              </a:solidFill>
              <a:latin typeface="Arial Black" panose="020B0A04020102020204" pitchFamily="34" charset="0"/>
              <a:ea typeface="+mn-ea"/>
              <a:cs typeface="+mn-cs"/>
            </a:rPr>
            <a:pPr marL="0" indent="0" algn="ctr"/>
            <a:t>10.58</a:t>
          </a:fld>
          <a:endParaRPr lang="en-IN" sz="1600" b="0" i="0" u="none" strike="noStrike">
            <a:solidFill>
              <a:srgbClr val="000000"/>
            </a:solidFill>
            <a:latin typeface="Arial Black" panose="020B0A04020102020204" pitchFamily="34" charset="0"/>
            <a:ea typeface="+mn-ea"/>
            <a:cs typeface="+mn-cs"/>
          </a:endParaRPr>
        </a:p>
      </xdr:txBody>
    </xdr:sp>
    <xdr:clientData/>
  </xdr:twoCellAnchor>
  <xdr:twoCellAnchor>
    <xdr:from>
      <xdr:col>20</xdr:col>
      <xdr:colOff>129540</xdr:colOff>
      <xdr:row>0</xdr:row>
      <xdr:rowOff>167640</xdr:rowOff>
    </xdr:from>
    <xdr:to>
      <xdr:col>22</xdr:col>
      <xdr:colOff>541020</xdr:colOff>
      <xdr:row>3</xdr:row>
      <xdr:rowOff>76200</xdr:rowOff>
    </xdr:to>
    <xdr:sp macro="" textlink="J24">
      <xdr:nvSpPr>
        <xdr:cNvPr id="30" name="TextBox 29">
          <a:extLst>
            <a:ext uri="{FF2B5EF4-FFF2-40B4-BE49-F238E27FC236}">
              <a16:creationId xmlns:a16="http://schemas.microsoft.com/office/drawing/2014/main" id="{0952DCCD-5F6D-4704-BC36-259BD70E5CA5}"/>
            </a:ext>
          </a:extLst>
        </xdr:cNvPr>
        <xdr:cNvSpPr txBox="1"/>
      </xdr:nvSpPr>
      <xdr:spPr>
        <a:xfrm>
          <a:off x="12412980" y="167640"/>
          <a:ext cx="16306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60FC9732-C996-48AB-A59B-6AC63A30CC21}" type="TxLink">
            <a:rPr lang="en-US" sz="1600" b="0" i="0" u="none" strike="noStrike">
              <a:solidFill>
                <a:srgbClr val="000000"/>
              </a:solidFill>
              <a:latin typeface="Arial Black" panose="020B0A04020102020204" pitchFamily="34" charset="0"/>
              <a:ea typeface="+mn-ea"/>
              <a:cs typeface="+mn-cs"/>
            </a:rPr>
            <a:pPr marL="0" indent="0" algn="ctr"/>
            <a:t>-53.08</a:t>
          </a:fld>
          <a:endParaRPr lang="en-IN" sz="1600" b="0" i="0" u="none" strike="noStrike">
            <a:solidFill>
              <a:srgbClr val="000000"/>
            </a:solidFill>
            <a:latin typeface="Arial Black" panose="020B0A04020102020204" pitchFamily="34" charset="0"/>
            <a:ea typeface="+mn-ea"/>
            <a:cs typeface="+mn-cs"/>
          </a:endParaRPr>
        </a:p>
      </xdr:txBody>
    </xdr:sp>
    <xdr:clientData/>
  </xdr:twoCellAnchor>
  <xdr:twoCellAnchor editAs="oneCell">
    <xdr:from>
      <xdr:col>0</xdr:col>
      <xdr:colOff>114301</xdr:colOff>
      <xdr:row>16</xdr:row>
      <xdr:rowOff>213361</xdr:rowOff>
    </xdr:from>
    <xdr:to>
      <xdr:col>2</xdr:col>
      <xdr:colOff>114300</xdr:colOff>
      <xdr:row>21</xdr:row>
      <xdr:rowOff>99060</xdr:rowOff>
    </xdr:to>
    <mc:AlternateContent xmlns:mc="http://schemas.openxmlformats.org/markup-compatibility/2006" xmlns:a14="http://schemas.microsoft.com/office/drawing/2010/main">
      <mc:Choice Requires="a14">
        <xdr:graphicFrame macro="">
          <xdr:nvGraphicFramePr>
            <xdr:cNvPr id="10" name="Lead Type 1">
              <a:extLst>
                <a:ext uri="{FF2B5EF4-FFF2-40B4-BE49-F238E27FC236}">
                  <a16:creationId xmlns:a16="http://schemas.microsoft.com/office/drawing/2014/main" id="{5F4BD46A-D4D6-41AE-9006-D24D2FF36535}"/>
                </a:ext>
              </a:extLst>
            </xdr:cNvPr>
            <xdr:cNvGraphicFramePr/>
          </xdr:nvGraphicFramePr>
          <xdr:xfrm>
            <a:off x="0" y="0"/>
            <a:ext cx="0" cy="0"/>
          </xdr:xfrm>
          <a:graphic>
            <a:graphicData uri="http://schemas.microsoft.com/office/drawing/2010/slicer">
              <sle:slicer xmlns:sle="http://schemas.microsoft.com/office/drawing/2010/slicer" name="Lead Type 1"/>
            </a:graphicData>
          </a:graphic>
        </xdr:graphicFrame>
      </mc:Choice>
      <mc:Fallback xmlns="">
        <xdr:sp macro="" textlink="">
          <xdr:nvSpPr>
            <xdr:cNvPr id="0" name=""/>
            <xdr:cNvSpPr>
              <a:spLocks noTextEdit="1"/>
            </xdr:cNvSpPr>
          </xdr:nvSpPr>
          <xdr:spPr>
            <a:xfrm>
              <a:off x="114301" y="3870961"/>
              <a:ext cx="1219199"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4</xdr:row>
      <xdr:rowOff>22860</xdr:rowOff>
    </xdr:from>
    <xdr:to>
      <xdr:col>2</xdr:col>
      <xdr:colOff>30480</xdr:colOff>
      <xdr:row>5</xdr:row>
      <xdr:rowOff>76200</xdr:rowOff>
    </xdr:to>
    <xdr:sp macro="" textlink="">
      <xdr:nvSpPr>
        <xdr:cNvPr id="24" name="Rectangle: Rounded Corners 23">
          <a:extLst>
            <a:ext uri="{FF2B5EF4-FFF2-40B4-BE49-F238E27FC236}">
              <a16:creationId xmlns:a16="http://schemas.microsoft.com/office/drawing/2014/main" id="{E3042BEF-6D83-43BD-9583-2280B307B8DF}"/>
            </a:ext>
          </a:extLst>
        </xdr:cNvPr>
        <xdr:cNvSpPr/>
      </xdr:nvSpPr>
      <xdr:spPr>
        <a:xfrm>
          <a:off x="190500" y="937260"/>
          <a:ext cx="1059180" cy="281940"/>
        </a:xfrm>
        <a:prstGeom prst="roundRect">
          <a:avLst>
            <a:gd name="adj" fmla="val 106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4</xdr:row>
      <xdr:rowOff>30480</xdr:rowOff>
    </xdr:from>
    <xdr:to>
      <xdr:col>2</xdr:col>
      <xdr:colOff>129540</xdr:colOff>
      <xdr:row>5</xdr:row>
      <xdr:rowOff>68580</xdr:rowOff>
    </xdr:to>
    <xdr:sp macro="" textlink="">
      <xdr:nvSpPr>
        <xdr:cNvPr id="25" name="TextBox 24">
          <a:extLst>
            <a:ext uri="{FF2B5EF4-FFF2-40B4-BE49-F238E27FC236}">
              <a16:creationId xmlns:a16="http://schemas.microsoft.com/office/drawing/2014/main" id="{A9BF6D76-9176-4B0D-B569-4DA13682DDAA}"/>
            </a:ext>
          </a:extLst>
        </xdr:cNvPr>
        <xdr:cNvSpPr txBox="1"/>
      </xdr:nvSpPr>
      <xdr:spPr>
        <a:xfrm>
          <a:off x="152400" y="944880"/>
          <a:ext cx="1196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8</xdr:row>
      <xdr:rowOff>49530</xdr:rowOff>
    </xdr:from>
    <xdr:to>
      <xdr:col>8</xdr:col>
      <xdr:colOff>411480</xdr:colOff>
      <xdr:row>18</xdr:row>
      <xdr:rowOff>91440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C24D5A4-3ABD-C498-9EA8-D24CB94378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04360" y="2251710"/>
              <a:ext cx="5280660" cy="2327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205740</xdr:colOff>
      <xdr:row>9</xdr:row>
      <xdr:rowOff>0</xdr:rowOff>
    </xdr:from>
    <xdr:to>
      <xdr:col>1</xdr:col>
      <xdr:colOff>533400</xdr:colOff>
      <xdr:row>15</xdr:row>
      <xdr:rowOff>198119</xdr:rowOff>
    </xdr:to>
    <mc:AlternateContent xmlns:mc="http://schemas.openxmlformats.org/markup-compatibility/2006" xmlns:sle15="http://schemas.microsoft.com/office/drawing/2012/slicer">
      <mc:Choice Requires="sle15">
        <xdr:graphicFrame macro="">
          <xdr:nvGraphicFramePr>
            <xdr:cNvPr id="2" name="Steps">
              <a:extLst>
                <a:ext uri="{FF2B5EF4-FFF2-40B4-BE49-F238E27FC236}">
                  <a16:creationId xmlns:a16="http://schemas.microsoft.com/office/drawing/2014/main" id="{61FADB7E-D6F0-FBBE-42C0-A86A97CB88F2}"/>
                </a:ext>
              </a:extLst>
            </xdr:cNvPr>
            <xdr:cNvGraphicFramePr/>
          </xdr:nvGraphicFramePr>
          <xdr:xfrm>
            <a:off x="0" y="0"/>
            <a:ext cx="0" cy="0"/>
          </xdr:xfrm>
          <a:graphic>
            <a:graphicData uri="http://schemas.microsoft.com/office/drawing/2010/slicer">
              <sle:slicer xmlns:sle="http://schemas.microsoft.com/office/drawing/2010/slicer" name="Steps"/>
            </a:graphicData>
          </a:graphic>
        </xdr:graphicFrame>
      </mc:Choice>
      <mc:Fallback xmlns="">
        <xdr:sp macro="" textlink="">
          <xdr:nvSpPr>
            <xdr:cNvPr id="0" name=""/>
            <xdr:cNvSpPr>
              <a:spLocks noTextEdit="1"/>
            </xdr:cNvSpPr>
          </xdr:nvSpPr>
          <xdr:spPr>
            <a:xfrm>
              <a:off x="205740" y="2430780"/>
              <a:ext cx="1638300" cy="15697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472440</xdr:colOff>
      <xdr:row>3</xdr:row>
      <xdr:rowOff>49530</xdr:rowOff>
    </xdr:from>
    <xdr:to>
      <xdr:col>15</xdr:col>
      <xdr:colOff>137160</xdr:colOff>
      <xdr:row>17</xdr:row>
      <xdr:rowOff>118110</xdr:rowOff>
    </xdr:to>
    <xdr:graphicFrame macro="">
      <xdr:nvGraphicFramePr>
        <xdr:cNvPr id="2" name="Chart 1">
          <a:extLst>
            <a:ext uri="{FF2B5EF4-FFF2-40B4-BE49-F238E27FC236}">
              <a16:creationId xmlns:a16="http://schemas.microsoft.com/office/drawing/2014/main" id="{7DE7F43F-D6C1-7F99-84DF-9499BA2A3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312420</xdr:colOff>
      <xdr:row>17</xdr:row>
      <xdr:rowOff>167641</xdr:rowOff>
    </xdr:from>
    <xdr:to>
      <xdr:col>7</xdr:col>
      <xdr:colOff>464820</xdr:colOff>
      <xdr:row>22</xdr:row>
      <xdr:rowOff>160021</xdr:rowOff>
    </xdr:to>
    <mc:AlternateContent xmlns:mc="http://schemas.openxmlformats.org/markup-compatibility/2006" xmlns:a14="http://schemas.microsoft.com/office/drawing/2010/main">
      <mc:Choice Requires="a14">
        <xdr:graphicFrame macro="">
          <xdr:nvGraphicFramePr>
            <xdr:cNvPr id="4" name="Store Name">
              <a:extLst>
                <a:ext uri="{FF2B5EF4-FFF2-40B4-BE49-F238E27FC236}">
                  <a16:creationId xmlns:a16="http://schemas.microsoft.com/office/drawing/2014/main" id="{FD8DABDD-0FA1-B57D-7AA2-7778F92E7A6C}"/>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4206240" y="412242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274320</xdr:colOff>
      <xdr:row>14</xdr:row>
      <xdr:rowOff>179070</xdr:rowOff>
    </xdr:from>
    <xdr:to>
      <xdr:col>6</xdr:col>
      <xdr:colOff>716280</xdr:colOff>
      <xdr:row>29</xdr:row>
      <xdr:rowOff>179070</xdr:rowOff>
    </xdr:to>
    <xdr:graphicFrame macro="">
      <xdr:nvGraphicFramePr>
        <xdr:cNvPr id="6" name="Chart 5">
          <a:extLst>
            <a:ext uri="{FF2B5EF4-FFF2-40B4-BE49-F238E27FC236}">
              <a16:creationId xmlns:a16="http://schemas.microsoft.com/office/drawing/2014/main" id="{BA71E243-DDC7-8392-3C4C-4FD183A22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480060</xdr:colOff>
      <xdr:row>14</xdr:row>
      <xdr:rowOff>179070</xdr:rowOff>
    </xdr:from>
    <xdr:to>
      <xdr:col>14</xdr:col>
      <xdr:colOff>137160</xdr:colOff>
      <xdr:row>30</xdr:row>
      <xdr:rowOff>30480</xdr:rowOff>
    </xdr:to>
    <xdr:graphicFrame macro="">
      <xdr:nvGraphicFramePr>
        <xdr:cNvPr id="7" name="Chart 6">
          <a:extLst>
            <a:ext uri="{FF2B5EF4-FFF2-40B4-BE49-F238E27FC236}">
              <a16:creationId xmlns:a16="http://schemas.microsoft.com/office/drawing/2014/main" id="{82ECB323-440A-5AEE-8794-60DAF7010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91440</xdr:colOff>
      <xdr:row>9</xdr:row>
      <xdr:rowOff>30481</xdr:rowOff>
    </xdr:from>
    <xdr:to>
      <xdr:col>10</xdr:col>
      <xdr:colOff>137160</xdr:colOff>
      <xdr:row>15</xdr:row>
      <xdr:rowOff>30480</xdr:rowOff>
    </xdr:to>
    <mc:AlternateContent xmlns:mc="http://schemas.openxmlformats.org/markup-compatibility/2006" xmlns:a14="http://schemas.microsoft.com/office/drawing/2010/main">
      <mc:Choice Requires="a14">
        <xdr:graphicFrame macro="">
          <xdr:nvGraphicFramePr>
            <xdr:cNvPr id="2" name="Lead Type">
              <a:extLst>
                <a:ext uri="{FF2B5EF4-FFF2-40B4-BE49-F238E27FC236}">
                  <a16:creationId xmlns:a16="http://schemas.microsoft.com/office/drawing/2014/main" id="{B3CA007C-31CF-4A02-094C-6F249A47FC8E}"/>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mlns="">
        <xdr:sp macro="" textlink="">
          <xdr:nvSpPr>
            <xdr:cNvPr id="0" name=""/>
            <xdr:cNvSpPr>
              <a:spLocks noTextEdit="1"/>
            </xdr:cNvSpPr>
          </xdr:nvSpPr>
          <xdr:spPr>
            <a:xfrm>
              <a:off x="6179820" y="2202181"/>
              <a:ext cx="203454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556260</xdr:colOff>
      <xdr:row>0</xdr:row>
      <xdr:rowOff>262890</xdr:rowOff>
    </xdr:from>
    <xdr:to>
      <xdr:col>13</xdr:col>
      <xdr:colOff>76200</xdr:colOff>
      <xdr:row>17</xdr:row>
      <xdr:rowOff>76200</xdr:rowOff>
    </xdr:to>
    <xdr:graphicFrame macro="">
      <xdr:nvGraphicFramePr>
        <xdr:cNvPr id="2" name="Chart 1">
          <a:extLst>
            <a:ext uri="{FF2B5EF4-FFF2-40B4-BE49-F238E27FC236}">
              <a16:creationId xmlns:a16="http://schemas.microsoft.com/office/drawing/2014/main" id="{EF556280-D621-9B0B-63E4-BE8A289CF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327660</xdr:colOff>
      <xdr:row>1</xdr:row>
      <xdr:rowOff>175260</xdr:rowOff>
    </xdr:from>
    <xdr:to>
      <xdr:col>8</xdr:col>
      <xdr:colOff>137160</xdr:colOff>
      <xdr:row>11</xdr:row>
      <xdr:rowOff>68580</xdr:rowOff>
    </xdr:to>
    <xdr:graphicFrame macro="">
      <xdr:nvGraphicFramePr>
        <xdr:cNvPr id="2" name="Chart 1">
          <a:extLst>
            <a:ext uri="{FF2B5EF4-FFF2-40B4-BE49-F238E27FC236}">
              <a16:creationId xmlns:a16="http://schemas.microsoft.com/office/drawing/2014/main" id="{8E7841B5-8D88-1609-B714-06A0AD866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1</xdr:row>
      <xdr:rowOff>160020</xdr:rowOff>
    </xdr:from>
    <xdr:to>
      <xdr:col>16</xdr:col>
      <xdr:colOff>365760</xdr:colOff>
      <xdr:row>11</xdr:row>
      <xdr:rowOff>106680</xdr:rowOff>
    </xdr:to>
    <xdr:graphicFrame macro="">
      <xdr:nvGraphicFramePr>
        <xdr:cNvPr id="5" name="Chart 4">
          <a:extLst>
            <a:ext uri="{FF2B5EF4-FFF2-40B4-BE49-F238E27FC236}">
              <a16:creationId xmlns:a16="http://schemas.microsoft.com/office/drawing/2014/main" id="{B53D8D7E-8DDA-8282-3E1E-1323B5DD5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411480</xdr:colOff>
      <xdr:row>1</xdr:row>
      <xdr:rowOff>95250</xdr:rowOff>
    </xdr:from>
    <xdr:to>
      <xdr:col>11</xdr:col>
      <xdr:colOff>106680</xdr:colOff>
      <xdr:row>16</xdr:row>
      <xdr:rowOff>95250</xdr:rowOff>
    </xdr:to>
    <xdr:graphicFrame macro="">
      <xdr:nvGraphicFramePr>
        <xdr:cNvPr id="2" name="Chart 1">
          <a:extLst>
            <a:ext uri="{FF2B5EF4-FFF2-40B4-BE49-F238E27FC236}">
              <a16:creationId xmlns:a16="http://schemas.microsoft.com/office/drawing/2014/main" id="{947E4F58-A981-3425-F701-5F8770ED6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259080</xdr:colOff>
      <xdr:row>1</xdr:row>
      <xdr:rowOff>125730</xdr:rowOff>
    </xdr:from>
    <xdr:to>
      <xdr:col>18</xdr:col>
      <xdr:colOff>563880</xdr:colOff>
      <xdr:row>16</xdr:row>
      <xdr:rowOff>125730</xdr:rowOff>
    </xdr:to>
    <xdr:graphicFrame macro="">
      <xdr:nvGraphicFramePr>
        <xdr:cNvPr id="5" name="Chart 4">
          <a:extLst>
            <a:ext uri="{FF2B5EF4-FFF2-40B4-BE49-F238E27FC236}">
              <a16:creationId xmlns:a16="http://schemas.microsoft.com/office/drawing/2014/main" id="{CB193408-DCA2-0E30-6910-CC7733E07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FORCE" refreshedDate="45959.471020949073" createdVersion="8" refreshedVersion="8" minRefreshableVersion="3" recordCount="1000" xr:uid="{7F0B4561-EFED-44BE-82D6-73B3FD49D922}">
  <cacheSource type="worksheet">
    <worksheetSource name="Table1"/>
  </cacheSource>
  <cacheFields count="16">
    <cacheField name="Lead ID" numFmtId="0">
      <sharedItems count="1000">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0">
      <sharedItems containsNonDate="0" containsDate="1" containsString="0" containsBlank="1" minDate="2025-10-02T00:00:00" maxDate="2025-11-06T00:00:00" count="36">
        <d v="2025-10-25T00:00:00"/>
        <d v="2025-10-14T00:00:00"/>
        <m/>
        <d v="2025-10-18T00:00:00"/>
        <d v="2025-10-31T00:00:00"/>
        <d v="2025-10-20T00:00:00"/>
        <d v="2025-10-05T00:00:00"/>
        <d v="2025-10-17T00:00:00"/>
        <d v="2025-11-04T00:00:00"/>
        <d v="2025-10-24T00:00:00"/>
        <d v="2025-11-01T00:00:00"/>
        <d v="2025-10-30T00:00:00"/>
        <d v="2025-10-27T00:00:00"/>
        <d v="2025-10-06T00:00:00"/>
        <d v="2025-10-15T00:00:00"/>
        <d v="2025-10-07T00:00:00"/>
        <d v="2025-10-21T00:00:00"/>
        <d v="2025-10-11T00:00:00"/>
        <d v="2025-10-23T00:00:00"/>
        <d v="2025-10-13T00:00:00"/>
        <d v="2025-10-12T00:00:00"/>
        <d v="2025-10-10T00:00:00"/>
        <d v="2025-10-19T00:00:00"/>
        <d v="2025-10-29T00:00:00"/>
        <d v="2025-10-16T00:00:00"/>
        <d v="2025-10-26T00:00:00"/>
        <d v="2025-10-04T00:00:00"/>
        <d v="2025-10-09T00:00:00"/>
        <d v="2025-10-28T00:00:00"/>
        <d v="2025-10-02T00:00:00"/>
        <d v="2025-10-08T00:00:00"/>
        <d v="2025-10-22T00:00:00"/>
        <d v="2025-11-05T00:00:00"/>
        <d v="2025-10-03T00:00:00"/>
        <d v="2025-11-02T00:00:00"/>
        <d v="2025-11-03T00:00:00"/>
      </sharedItems>
      <fieldGroup par="15"/>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1">
      <sharedItems containsString="0" containsBlank="1" containsNumber="1" containsInteger="1" minValue="1" maxValue="5"/>
    </cacheField>
    <cacheField name="TAT Booking (Days)" numFmtId="1">
      <sharedItems containsString="0" containsBlank="1" containsNumber="1" containsInteger="1" minValue="1" maxValue="5"/>
    </cacheField>
    <cacheField name="TAT Delivery (Days)" numFmtId="1">
      <sharedItems containsString="0" containsBlank="1" containsNumber="1" containsInteger="1" minValue="2" maxValue="7"/>
    </cacheField>
    <cacheField name="Customer Rating" numFmtId="1">
      <sharedItems containsString="0" containsBlank="1" containsNumber="1" containsInteger="1" minValue="0" maxValue="10" count="12">
        <n v="2"/>
        <n v="8"/>
        <m/>
        <n v="9"/>
        <n v="10"/>
        <n v="6"/>
        <n v="0"/>
        <n v="5"/>
        <n v="4"/>
        <n v="3"/>
        <n v="1"/>
        <n v="7"/>
      </sharedItems>
    </cacheField>
    <cacheField name="Days (Pre-Booking Date)" numFmtId="0" databaseField="0">
      <fieldGroup base="4">
        <rangePr groupBy="days" startDate="2025-10-02T00:00:00" endDate="2025-11-06T00:00:00"/>
        <groupItems count="368">
          <s v="&lt;02-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1-2025"/>
        </groupItems>
      </fieldGroup>
    </cacheField>
    <cacheField name="Months (Pre-Booking Date)" numFmtId="0" databaseField="0">
      <fieldGroup base="4">
        <rangePr groupBy="months" startDate="2025-10-02T00:00:00" endDate="2025-11-06T00:00:00"/>
        <groupItems count="14">
          <s v="&lt;02-10-2025"/>
          <s v="Jan"/>
          <s v="Feb"/>
          <s v="Mar"/>
          <s v="Apr"/>
          <s v="May"/>
          <s v="Jun"/>
          <s v="Jul"/>
          <s v="Aug"/>
          <s v="Sep"/>
          <s v="Oct"/>
          <s v="Nov"/>
          <s v="Dec"/>
          <s v="&gt;06-11-2025"/>
        </groupItems>
      </fieldGroup>
    </cacheField>
  </cacheFields>
  <extLst>
    <ext xmlns:x14="http://schemas.microsoft.com/office/spreadsheetml/2009/9/main" uri="{725AE2AE-9491-48be-B2B4-4EB974FC3084}">
      <x14:pivotCacheDefinition pivotCacheId="645822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d v="2025-10-29T00:00:00"/>
    <d v="2025-11-03T00:00:00"/>
    <x v="0"/>
    <x v="0"/>
    <d v="2025-11-28T00:00:00"/>
    <n v="4"/>
    <n v="4"/>
    <n v="5"/>
    <x v="0"/>
  </r>
  <r>
    <x v="1"/>
    <x v="1"/>
    <x v="0"/>
    <x v="1"/>
    <x v="1"/>
    <d v="2025-10-19T00:00:00"/>
    <d v="2025-10-26T00:00:00"/>
    <x v="0"/>
    <x v="0"/>
    <d v="2025-11-22T00:00:00"/>
    <n v="3"/>
    <n v="5"/>
    <n v="7"/>
    <x v="1"/>
  </r>
  <r>
    <x v="2"/>
    <x v="2"/>
    <x v="1"/>
    <x v="2"/>
    <x v="2"/>
    <m/>
    <m/>
    <x v="1"/>
    <x v="1"/>
    <m/>
    <m/>
    <m/>
    <m/>
    <x v="2"/>
  </r>
  <r>
    <x v="3"/>
    <x v="0"/>
    <x v="1"/>
    <x v="3"/>
    <x v="2"/>
    <m/>
    <m/>
    <x v="1"/>
    <x v="2"/>
    <m/>
    <m/>
    <m/>
    <m/>
    <x v="2"/>
  </r>
  <r>
    <x v="4"/>
    <x v="1"/>
    <x v="0"/>
    <x v="4"/>
    <x v="3"/>
    <d v="2025-10-21T00:00:00"/>
    <d v="2025-10-24T00:00:00"/>
    <x v="0"/>
    <x v="0"/>
    <d v="2025-11-12T00:00:00"/>
    <n v="4"/>
    <n v="3"/>
    <n v="3"/>
    <x v="1"/>
  </r>
  <r>
    <x v="5"/>
    <x v="1"/>
    <x v="0"/>
    <x v="5"/>
    <x v="4"/>
    <d v="2025-11-04T00:00:00"/>
    <d v="2025-11-07T00:00:00"/>
    <x v="0"/>
    <x v="0"/>
    <d v="2025-11-22T00:00:00"/>
    <n v="4"/>
    <n v="4"/>
    <n v="3"/>
    <x v="3"/>
  </r>
  <r>
    <x v="6"/>
    <x v="2"/>
    <x v="2"/>
    <x v="6"/>
    <x v="5"/>
    <d v="2025-10-21T00:00:00"/>
    <d v="2025-10-28T00:00:00"/>
    <x v="0"/>
    <x v="0"/>
    <d v="2025-11-22T00:00:00"/>
    <n v="4"/>
    <n v="1"/>
    <n v="7"/>
    <x v="4"/>
  </r>
  <r>
    <x v="7"/>
    <x v="3"/>
    <x v="0"/>
    <x v="7"/>
    <x v="6"/>
    <d v="2025-10-08T00:00:00"/>
    <d v="2025-10-15T00:00:00"/>
    <x v="1"/>
    <x v="3"/>
    <m/>
    <n v="1"/>
    <n v="3"/>
    <n v="7"/>
    <x v="2"/>
  </r>
  <r>
    <x v="8"/>
    <x v="0"/>
    <x v="2"/>
    <x v="4"/>
    <x v="7"/>
    <d v="2025-10-20T00:00:00"/>
    <d v="2025-10-25T00:00:00"/>
    <x v="0"/>
    <x v="0"/>
    <d v="2025-11-05T00:00:00"/>
    <n v="3"/>
    <n v="3"/>
    <n v="5"/>
    <x v="1"/>
  </r>
  <r>
    <x v="9"/>
    <x v="2"/>
    <x v="0"/>
    <x v="8"/>
    <x v="8"/>
    <d v="2025-11-05T00:00:00"/>
    <d v="2025-11-10T00:00:00"/>
    <x v="0"/>
    <x v="0"/>
    <d v="2025-11-22T00:00:00"/>
    <n v="4"/>
    <n v="1"/>
    <n v="5"/>
    <x v="5"/>
  </r>
  <r>
    <x v="10"/>
    <x v="0"/>
    <x v="1"/>
    <x v="9"/>
    <x v="2"/>
    <m/>
    <m/>
    <x v="1"/>
    <x v="1"/>
    <m/>
    <m/>
    <m/>
    <m/>
    <x v="2"/>
  </r>
  <r>
    <x v="11"/>
    <x v="1"/>
    <x v="0"/>
    <x v="0"/>
    <x v="9"/>
    <d v="2025-10-28T00:00:00"/>
    <d v="2025-10-30T00:00:00"/>
    <x v="0"/>
    <x v="0"/>
    <d v="2025-11-10T00:00:00"/>
    <n v="3"/>
    <n v="4"/>
    <n v="2"/>
    <x v="6"/>
  </r>
  <r>
    <x v="12"/>
    <x v="1"/>
    <x v="0"/>
    <x v="10"/>
    <x v="10"/>
    <d v="2025-11-06T00:00:00"/>
    <d v="2025-11-13T00:00:00"/>
    <x v="0"/>
    <x v="0"/>
    <d v="2025-11-30T00:00:00"/>
    <n v="3"/>
    <n v="5"/>
    <n v="7"/>
    <x v="4"/>
  </r>
  <r>
    <x v="13"/>
    <x v="3"/>
    <x v="0"/>
    <x v="5"/>
    <x v="11"/>
    <d v="2025-11-02T00:00:00"/>
    <d v="2025-11-08T00:00:00"/>
    <x v="0"/>
    <x v="0"/>
    <d v="2025-12-07T00:00:00"/>
    <n v="3"/>
    <n v="3"/>
    <n v="6"/>
    <x v="0"/>
  </r>
  <r>
    <x v="14"/>
    <x v="1"/>
    <x v="2"/>
    <x v="11"/>
    <x v="7"/>
    <d v="2025-10-18T00:00:00"/>
    <d v="2025-10-21T00:00:00"/>
    <x v="1"/>
    <x v="3"/>
    <m/>
    <n v="2"/>
    <n v="1"/>
    <n v="3"/>
    <x v="2"/>
  </r>
  <r>
    <x v="15"/>
    <x v="1"/>
    <x v="0"/>
    <x v="12"/>
    <x v="12"/>
    <d v="2025-11-01T00:00:00"/>
    <d v="2025-11-06T00:00:00"/>
    <x v="0"/>
    <x v="0"/>
    <d v="2025-11-23T00:00:00"/>
    <n v="4"/>
    <n v="5"/>
    <n v="5"/>
    <x v="1"/>
  </r>
  <r>
    <x v="16"/>
    <x v="2"/>
    <x v="2"/>
    <x v="13"/>
    <x v="13"/>
    <d v="2025-10-10T00:00:00"/>
    <d v="2025-10-16T00:00:00"/>
    <x v="0"/>
    <x v="0"/>
    <d v="2025-10-26T00:00:00"/>
    <n v="1"/>
    <n v="4"/>
    <n v="6"/>
    <x v="0"/>
  </r>
  <r>
    <x v="17"/>
    <x v="0"/>
    <x v="2"/>
    <x v="4"/>
    <x v="14"/>
    <d v="2025-10-18T00:00:00"/>
    <d v="2025-10-23T00:00:00"/>
    <x v="0"/>
    <x v="0"/>
    <d v="2025-11-18T00:00:00"/>
    <n v="1"/>
    <n v="3"/>
    <n v="5"/>
    <x v="6"/>
  </r>
  <r>
    <x v="18"/>
    <x v="0"/>
    <x v="0"/>
    <x v="14"/>
    <x v="15"/>
    <d v="2025-10-12T00:00:00"/>
    <d v="2025-10-17T00:00:00"/>
    <x v="0"/>
    <x v="0"/>
    <d v="2025-11-11T00:00:00"/>
    <n v="1"/>
    <n v="5"/>
    <n v="5"/>
    <x v="7"/>
  </r>
  <r>
    <x v="19"/>
    <x v="2"/>
    <x v="0"/>
    <x v="15"/>
    <x v="0"/>
    <d v="2025-10-30T00:00:00"/>
    <d v="2025-11-01T00:00:00"/>
    <x v="0"/>
    <x v="0"/>
    <d v="2025-11-11T00:00:00"/>
    <n v="1"/>
    <n v="5"/>
    <n v="2"/>
    <x v="8"/>
  </r>
  <r>
    <x v="20"/>
    <x v="3"/>
    <x v="0"/>
    <x v="16"/>
    <x v="16"/>
    <d v="2025-10-23T00:00:00"/>
    <d v="2025-10-30T00:00:00"/>
    <x v="0"/>
    <x v="0"/>
    <d v="2025-11-19T00:00:00"/>
    <n v="4"/>
    <n v="2"/>
    <n v="7"/>
    <x v="5"/>
  </r>
  <r>
    <x v="21"/>
    <x v="0"/>
    <x v="2"/>
    <x v="8"/>
    <x v="10"/>
    <d v="2025-11-02T00:00:00"/>
    <d v="2025-11-05T00:00:00"/>
    <x v="0"/>
    <x v="0"/>
    <d v="2025-12-04T00:00:00"/>
    <n v="1"/>
    <n v="1"/>
    <n v="3"/>
    <x v="9"/>
  </r>
  <r>
    <x v="22"/>
    <x v="1"/>
    <x v="0"/>
    <x v="0"/>
    <x v="9"/>
    <d v="2025-10-29T00:00:00"/>
    <d v="2025-11-01T00:00:00"/>
    <x v="0"/>
    <x v="0"/>
    <d v="2025-11-17T00:00:00"/>
    <n v="3"/>
    <n v="5"/>
    <n v="3"/>
    <x v="1"/>
  </r>
  <r>
    <x v="23"/>
    <x v="0"/>
    <x v="0"/>
    <x v="17"/>
    <x v="17"/>
    <d v="2025-10-15T00:00:00"/>
    <d v="2025-10-19T00:00:00"/>
    <x v="0"/>
    <x v="0"/>
    <d v="2025-11-02T00:00:00"/>
    <n v="2"/>
    <n v="4"/>
    <n v="4"/>
    <x v="9"/>
  </r>
  <r>
    <x v="24"/>
    <x v="1"/>
    <x v="0"/>
    <x v="18"/>
    <x v="0"/>
    <d v="2025-10-27T00:00:00"/>
    <d v="2025-11-03T00:00:00"/>
    <x v="0"/>
    <x v="0"/>
    <d v="2025-11-23T00:00:00"/>
    <n v="5"/>
    <n v="2"/>
    <n v="7"/>
    <x v="10"/>
  </r>
  <r>
    <x v="25"/>
    <x v="3"/>
    <x v="0"/>
    <x v="19"/>
    <x v="12"/>
    <d v="2025-11-01T00:00:00"/>
    <d v="2025-11-03T00:00:00"/>
    <x v="0"/>
    <x v="0"/>
    <d v="2025-11-18T00:00:00"/>
    <n v="1"/>
    <n v="5"/>
    <n v="2"/>
    <x v="8"/>
  </r>
  <r>
    <x v="26"/>
    <x v="2"/>
    <x v="0"/>
    <x v="20"/>
    <x v="8"/>
    <d v="2025-11-09T00:00:00"/>
    <d v="2025-11-15T00:00:00"/>
    <x v="0"/>
    <x v="0"/>
    <d v="2025-12-05T00:00:00"/>
    <n v="5"/>
    <n v="5"/>
    <n v="6"/>
    <x v="10"/>
  </r>
  <r>
    <x v="27"/>
    <x v="0"/>
    <x v="0"/>
    <x v="21"/>
    <x v="18"/>
    <d v="2025-10-27T00:00:00"/>
    <d v="2025-10-29T00:00:00"/>
    <x v="0"/>
    <x v="0"/>
    <d v="2025-11-09T00:00:00"/>
    <n v="5"/>
    <n v="4"/>
    <n v="2"/>
    <x v="9"/>
  </r>
  <r>
    <x v="28"/>
    <x v="2"/>
    <x v="0"/>
    <x v="22"/>
    <x v="11"/>
    <d v="2025-11-01T00:00:00"/>
    <d v="2025-11-07T00:00:00"/>
    <x v="0"/>
    <x v="0"/>
    <d v="2025-11-17T00:00:00"/>
    <n v="5"/>
    <n v="2"/>
    <n v="6"/>
    <x v="9"/>
  </r>
  <r>
    <x v="29"/>
    <x v="0"/>
    <x v="1"/>
    <x v="6"/>
    <x v="2"/>
    <m/>
    <m/>
    <x v="1"/>
    <x v="3"/>
    <m/>
    <m/>
    <m/>
    <m/>
    <x v="2"/>
  </r>
  <r>
    <x v="30"/>
    <x v="1"/>
    <x v="0"/>
    <x v="11"/>
    <x v="3"/>
    <d v="2025-10-20T00:00:00"/>
    <d v="2025-10-23T00:00:00"/>
    <x v="0"/>
    <x v="0"/>
    <d v="2025-11-06T00:00:00"/>
    <n v="3"/>
    <n v="2"/>
    <n v="3"/>
    <x v="9"/>
  </r>
  <r>
    <x v="31"/>
    <x v="2"/>
    <x v="0"/>
    <x v="4"/>
    <x v="14"/>
    <d v="2025-10-16T00:00:00"/>
    <d v="2025-10-20T00:00:00"/>
    <x v="0"/>
    <x v="0"/>
    <d v="2025-11-17T00:00:00"/>
    <n v="1"/>
    <n v="1"/>
    <n v="4"/>
    <x v="7"/>
  </r>
  <r>
    <x v="32"/>
    <x v="0"/>
    <x v="0"/>
    <x v="5"/>
    <x v="4"/>
    <d v="2025-11-05T00:00:00"/>
    <d v="2025-11-09T00:00:00"/>
    <x v="0"/>
    <x v="0"/>
    <d v="2025-11-23T00:00:00"/>
    <n v="4"/>
    <n v="5"/>
    <n v="4"/>
    <x v="9"/>
  </r>
  <r>
    <x v="33"/>
    <x v="1"/>
    <x v="0"/>
    <x v="15"/>
    <x v="12"/>
    <d v="2025-10-28T00:00:00"/>
    <d v="2025-10-31T00:00:00"/>
    <x v="0"/>
    <x v="0"/>
    <d v="2025-11-13T00:00:00"/>
    <n v="3"/>
    <n v="1"/>
    <n v="3"/>
    <x v="9"/>
  </r>
  <r>
    <x v="34"/>
    <x v="2"/>
    <x v="1"/>
    <x v="23"/>
    <x v="2"/>
    <m/>
    <m/>
    <x v="1"/>
    <x v="2"/>
    <m/>
    <m/>
    <m/>
    <m/>
    <x v="2"/>
  </r>
  <r>
    <x v="35"/>
    <x v="2"/>
    <x v="0"/>
    <x v="17"/>
    <x v="19"/>
    <d v="2025-10-15T00:00:00"/>
    <d v="2025-10-20T00:00:00"/>
    <x v="0"/>
    <x v="0"/>
    <d v="2025-11-15T00:00:00"/>
    <n v="4"/>
    <n v="2"/>
    <n v="5"/>
    <x v="3"/>
  </r>
  <r>
    <x v="36"/>
    <x v="0"/>
    <x v="0"/>
    <x v="1"/>
    <x v="20"/>
    <d v="2025-10-13T00:00:00"/>
    <d v="2025-10-15T00:00:00"/>
    <x v="1"/>
    <x v="4"/>
    <m/>
    <n v="1"/>
    <n v="1"/>
    <n v="2"/>
    <x v="2"/>
  </r>
  <r>
    <x v="37"/>
    <x v="0"/>
    <x v="0"/>
    <x v="3"/>
    <x v="4"/>
    <d v="2025-11-04T00:00:00"/>
    <d v="2025-11-08T00:00:00"/>
    <x v="0"/>
    <x v="0"/>
    <d v="2025-11-29T00:00:00"/>
    <n v="3"/>
    <n v="4"/>
    <n v="4"/>
    <x v="0"/>
  </r>
  <r>
    <x v="38"/>
    <x v="0"/>
    <x v="0"/>
    <x v="24"/>
    <x v="19"/>
    <d v="2025-10-16T00:00:00"/>
    <d v="2025-10-23T00:00:00"/>
    <x v="0"/>
    <x v="0"/>
    <d v="2025-11-04T00:00:00"/>
    <n v="5"/>
    <n v="3"/>
    <n v="7"/>
    <x v="3"/>
  </r>
  <r>
    <x v="39"/>
    <x v="1"/>
    <x v="0"/>
    <x v="5"/>
    <x v="11"/>
    <d v="2025-11-03T00:00:00"/>
    <d v="2025-11-08T00:00:00"/>
    <x v="1"/>
    <x v="1"/>
    <m/>
    <n v="3"/>
    <n v="4"/>
    <n v="5"/>
    <x v="2"/>
  </r>
  <r>
    <x v="40"/>
    <x v="0"/>
    <x v="1"/>
    <x v="20"/>
    <x v="2"/>
    <m/>
    <m/>
    <x v="1"/>
    <x v="2"/>
    <m/>
    <m/>
    <m/>
    <m/>
    <x v="2"/>
  </r>
  <r>
    <x v="41"/>
    <x v="2"/>
    <x v="0"/>
    <x v="25"/>
    <x v="13"/>
    <d v="2025-10-08T00:00:00"/>
    <d v="2025-10-14T00:00:00"/>
    <x v="0"/>
    <x v="0"/>
    <d v="2025-11-04T00:00:00"/>
    <n v="3"/>
    <n v="2"/>
    <n v="6"/>
    <x v="5"/>
  </r>
  <r>
    <x v="42"/>
    <x v="2"/>
    <x v="0"/>
    <x v="17"/>
    <x v="21"/>
    <d v="2025-10-14T00:00:00"/>
    <d v="2025-10-21T00:00:00"/>
    <x v="0"/>
    <x v="0"/>
    <d v="2025-11-12T00:00:00"/>
    <n v="1"/>
    <n v="4"/>
    <n v="7"/>
    <x v="11"/>
  </r>
  <r>
    <x v="43"/>
    <x v="0"/>
    <x v="1"/>
    <x v="10"/>
    <x v="2"/>
    <m/>
    <m/>
    <x v="1"/>
    <x v="3"/>
    <m/>
    <m/>
    <m/>
    <m/>
    <x v="2"/>
  </r>
  <r>
    <x v="44"/>
    <x v="0"/>
    <x v="2"/>
    <x v="11"/>
    <x v="5"/>
    <d v="2025-10-22T00:00:00"/>
    <d v="2025-10-26T00:00:00"/>
    <x v="0"/>
    <x v="0"/>
    <d v="2025-11-23T00:00:00"/>
    <n v="5"/>
    <n v="2"/>
    <n v="4"/>
    <x v="1"/>
  </r>
  <r>
    <x v="45"/>
    <x v="3"/>
    <x v="2"/>
    <x v="24"/>
    <x v="19"/>
    <d v="2025-10-17T00:00:00"/>
    <d v="2025-10-23T00:00:00"/>
    <x v="0"/>
    <x v="0"/>
    <d v="2025-11-05T00:00:00"/>
    <n v="5"/>
    <n v="4"/>
    <n v="6"/>
    <x v="9"/>
  </r>
  <r>
    <x v="46"/>
    <x v="2"/>
    <x v="0"/>
    <x v="22"/>
    <x v="12"/>
    <d v="2025-11-01T00:00:00"/>
    <d v="2025-11-06T00:00:00"/>
    <x v="0"/>
    <x v="0"/>
    <d v="2025-11-26T00:00:00"/>
    <n v="2"/>
    <n v="5"/>
    <n v="5"/>
    <x v="7"/>
  </r>
  <r>
    <x v="47"/>
    <x v="1"/>
    <x v="1"/>
    <x v="11"/>
    <x v="2"/>
    <m/>
    <m/>
    <x v="1"/>
    <x v="2"/>
    <m/>
    <m/>
    <m/>
    <m/>
    <x v="2"/>
  </r>
  <r>
    <x v="48"/>
    <x v="3"/>
    <x v="2"/>
    <x v="23"/>
    <x v="16"/>
    <d v="2025-10-26T00:00:00"/>
    <d v="2025-11-01T00:00:00"/>
    <x v="0"/>
    <x v="0"/>
    <d v="2025-11-20T00:00:00"/>
    <n v="2"/>
    <n v="5"/>
    <n v="6"/>
    <x v="6"/>
  </r>
  <r>
    <x v="49"/>
    <x v="0"/>
    <x v="2"/>
    <x v="18"/>
    <x v="9"/>
    <d v="2025-10-28T00:00:00"/>
    <d v="2025-11-02T00:00:00"/>
    <x v="0"/>
    <x v="0"/>
    <d v="2025-11-22T00:00:00"/>
    <n v="4"/>
    <n v="4"/>
    <n v="5"/>
    <x v="5"/>
  </r>
  <r>
    <x v="50"/>
    <x v="0"/>
    <x v="2"/>
    <x v="26"/>
    <x v="9"/>
    <d v="2025-10-25T00:00:00"/>
    <d v="2025-10-31T00:00:00"/>
    <x v="0"/>
    <x v="0"/>
    <d v="2025-11-14T00:00:00"/>
    <n v="2"/>
    <n v="1"/>
    <n v="6"/>
    <x v="5"/>
  </r>
  <r>
    <x v="51"/>
    <x v="2"/>
    <x v="2"/>
    <x v="27"/>
    <x v="1"/>
    <d v="2025-10-16T00:00:00"/>
    <d v="2025-10-18T00:00:00"/>
    <x v="0"/>
    <x v="0"/>
    <d v="2025-11-02T00:00:00"/>
    <n v="1"/>
    <n v="2"/>
    <n v="2"/>
    <x v="5"/>
  </r>
  <r>
    <x v="52"/>
    <x v="0"/>
    <x v="2"/>
    <x v="1"/>
    <x v="1"/>
    <d v="2025-10-19T00:00:00"/>
    <d v="2025-10-23T00:00:00"/>
    <x v="0"/>
    <x v="0"/>
    <d v="2025-11-15T00:00:00"/>
    <n v="3"/>
    <n v="5"/>
    <n v="4"/>
    <x v="8"/>
  </r>
  <r>
    <x v="53"/>
    <x v="1"/>
    <x v="0"/>
    <x v="2"/>
    <x v="13"/>
    <d v="2025-10-08T00:00:00"/>
    <d v="2025-10-12T00:00:00"/>
    <x v="0"/>
    <x v="0"/>
    <d v="2025-11-11T00:00:00"/>
    <n v="5"/>
    <n v="2"/>
    <n v="4"/>
    <x v="8"/>
  </r>
  <r>
    <x v="54"/>
    <x v="2"/>
    <x v="0"/>
    <x v="6"/>
    <x v="22"/>
    <d v="2025-10-24T00:00:00"/>
    <d v="2025-10-29T00:00:00"/>
    <x v="0"/>
    <x v="0"/>
    <d v="2025-11-23T00:00:00"/>
    <n v="3"/>
    <n v="5"/>
    <n v="5"/>
    <x v="1"/>
  </r>
  <r>
    <x v="55"/>
    <x v="0"/>
    <x v="2"/>
    <x v="3"/>
    <x v="23"/>
    <d v="2025-11-01T00:00:00"/>
    <d v="2025-11-07T00:00:00"/>
    <x v="0"/>
    <x v="0"/>
    <d v="2025-12-07T00:00:00"/>
    <n v="1"/>
    <n v="3"/>
    <n v="6"/>
    <x v="9"/>
  </r>
  <r>
    <x v="56"/>
    <x v="2"/>
    <x v="0"/>
    <x v="1"/>
    <x v="1"/>
    <d v="2025-10-18T00:00:00"/>
    <d v="2025-10-21T00:00:00"/>
    <x v="0"/>
    <x v="0"/>
    <d v="2025-11-10T00:00:00"/>
    <n v="3"/>
    <n v="4"/>
    <n v="3"/>
    <x v="5"/>
  </r>
  <r>
    <x v="57"/>
    <x v="0"/>
    <x v="2"/>
    <x v="14"/>
    <x v="17"/>
    <d v="2025-10-16T00:00:00"/>
    <d v="2025-10-23T00:00:00"/>
    <x v="0"/>
    <x v="0"/>
    <d v="2025-11-07T00:00:00"/>
    <n v="5"/>
    <n v="5"/>
    <n v="7"/>
    <x v="10"/>
  </r>
  <r>
    <x v="58"/>
    <x v="0"/>
    <x v="0"/>
    <x v="6"/>
    <x v="3"/>
    <d v="2025-10-22T00:00:00"/>
    <d v="2025-10-29T00:00:00"/>
    <x v="1"/>
    <x v="4"/>
    <m/>
    <n v="2"/>
    <n v="4"/>
    <n v="7"/>
    <x v="2"/>
  </r>
  <r>
    <x v="59"/>
    <x v="0"/>
    <x v="0"/>
    <x v="28"/>
    <x v="17"/>
    <d v="2025-10-14T00:00:00"/>
    <d v="2025-10-18T00:00:00"/>
    <x v="0"/>
    <x v="0"/>
    <d v="2025-11-14T00:00:00"/>
    <n v="4"/>
    <n v="3"/>
    <n v="4"/>
    <x v="0"/>
  </r>
  <r>
    <x v="60"/>
    <x v="1"/>
    <x v="0"/>
    <x v="9"/>
    <x v="7"/>
    <d v="2025-10-19T00:00:00"/>
    <d v="2025-10-25T00:00:00"/>
    <x v="0"/>
    <x v="0"/>
    <d v="2025-11-23T00:00:00"/>
    <n v="5"/>
    <n v="2"/>
    <n v="6"/>
    <x v="11"/>
  </r>
  <r>
    <x v="61"/>
    <x v="1"/>
    <x v="2"/>
    <x v="19"/>
    <x v="4"/>
    <d v="2025-11-04T00:00:00"/>
    <d v="2025-11-10T00:00:00"/>
    <x v="0"/>
    <x v="0"/>
    <d v="2025-12-01T00:00:00"/>
    <n v="5"/>
    <n v="4"/>
    <n v="6"/>
    <x v="3"/>
  </r>
  <r>
    <x v="62"/>
    <x v="2"/>
    <x v="0"/>
    <x v="17"/>
    <x v="1"/>
    <d v="2025-10-19T00:00:00"/>
    <d v="2025-10-21T00:00:00"/>
    <x v="0"/>
    <x v="0"/>
    <d v="2025-11-07T00:00:00"/>
    <n v="5"/>
    <n v="5"/>
    <n v="2"/>
    <x v="9"/>
  </r>
  <r>
    <x v="63"/>
    <x v="0"/>
    <x v="2"/>
    <x v="1"/>
    <x v="24"/>
    <d v="2025-10-19T00:00:00"/>
    <d v="2025-10-26T00:00:00"/>
    <x v="0"/>
    <x v="0"/>
    <d v="2025-11-23T00:00:00"/>
    <n v="5"/>
    <n v="3"/>
    <n v="7"/>
    <x v="9"/>
  </r>
  <r>
    <x v="64"/>
    <x v="0"/>
    <x v="1"/>
    <x v="17"/>
    <x v="2"/>
    <m/>
    <m/>
    <x v="1"/>
    <x v="1"/>
    <m/>
    <m/>
    <m/>
    <m/>
    <x v="2"/>
  </r>
  <r>
    <x v="65"/>
    <x v="1"/>
    <x v="0"/>
    <x v="10"/>
    <x v="11"/>
    <d v="2025-11-04T00:00:00"/>
    <d v="2025-11-07T00:00:00"/>
    <x v="0"/>
    <x v="0"/>
    <d v="2025-11-22T00:00:00"/>
    <n v="1"/>
    <n v="5"/>
    <n v="3"/>
    <x v="4"/>
  </r>
  <r>
    <x v="66"/>
    <x v="0"/>
    <x v="0"/>
    <x v="18"/>
    <x v="0"/>
    <d v="2025-10-28T00:00:00"/>
    <d v="2025-11-01T00:00:00"/>
    <x v="0"/>
    <x v="0"/>
    <d v="2025-11-23T00:00:00"/>
    <n v="5"/>
    <n v="3"/>
    <n v="4"/>
    <x v="8"/>
  </r>
  <r>
    <x v="67"/>
    <x v="1"/>
    <x v="2"/>
    <x v="12"/>
    <x v="25"/>
    <d v="2025-10-29T00:00:00"/>
    <d v="2025-10-31T00:00:00"/>
    <x v="0"/>
    <x v="0"/>
    <d v="2025-11-19T00:00:00"/>
    <n v="3"/>
    <n v="3"/>
    <n v="2"/>
    <x v="7"/>
  </r>
  <r>
    <x v="68"/>
    <x v="0"/>
    <x v="1"/>
    <x v="10"/>
    <x v="2"/>
    <m/>
    <m/>
    <x v="1"/>
    <x v="4"/>
    <m/>
    <m/>
    <m/>
    <m/>
    <x v="2"/>
  </r>
  <r>
    <x v="69"/>
    <x v="2"/>
    <x v="2"/>
    <x v="17"/>
    <x v="21"/>
    <d v="2025-10-15T00:00:00"/>
    <d v="2025-10-18T00:00:00"/>
    <x v="0"/>
    <x v="0"/>
    <d v="2025-11-06T00:00:00"/>
    <n v="1"/>
    <n v="5"/>
    <n v="3"/>
    <x v="10"/>
  </r>
  <r>
    <x v="70"/>
    <x v="0"/>
    <x v="2"/>
    <x v="21"/>
    <x v="5"/>
    <d v="2025-10-24T00:00:00"/>
    <d v="2025-10-28T00:00:00"/>
    <x v="0"/>
    <x v="0"/>
    <d v="2025-11-11T00:00:00"/>
    <n v="2"/>
    <n v="4"/>
    <n v="4"/>
    <x v="4"/>
  </r>
  <r>
    <x v="71"/>
    <x v="0"/>
    <x v="0"/>
    <x v="2"/>
    <x v="26"/>
    <d v="2025-10-06T00:00:00"/>
    <d v="2025-10-08T00:00:00"/>
    <x v="0"/>
    <x v="0"/>
    <d v="2025-10-23T00:00:00"/>
    <n v="3"/>
    <n v="2"/>
    <n v="2"/>
    <x v="11"/>
  </r>
  <r>
    <x v="72"/>
    <x v="3"/>
    <x v="2"/>
    <x v="16"/>
    <x v="5"/>
    <d v="2025-10-22T00:00:00"/>
    <d v="2025-10-25T00:00:00"/>
    <x v="0"/>
    <x v="0"/>
    <d v="2025-11-04T00:00:00"/>
    <n v="3"/>
    <n v="2"/>
    <n v="3"/>
    <x v="5"/>
  </r>
  <r>
    <x v="73"/>
    <x v="1"/>
    <x v="1"/>
    <x v="8"/>
    <x v="2"/>
    <m/>
    <m/>
    <x v="1"/>
    <x v="5"/>
    <m/>
    <m/>
    <m/>
    <m/>
    <x v="2"/>
  </r>
  <r>
    <x v="74"/>
    <x v="0"/>
    <x v="0"/>
    <x v="28"/>
    <x v="21"/>
    <d v="2025-10-13T00:00:00"/>
    <d v="2025-10-17T00:00:00"/>
    <x v="0"/>
    <x v="0"/>
    <d v="2025-11-14T00:00:00"/>
    <n v="3"/>
    <n v="3"/>
    <n v="4"/>
    <x v="6"/>
  </r>
  <r>
    <x v="75"/>
    <x v="0"/>
    <x v="2"/>
    <x v="25"/>
    <x v="13"/>
    <d v="2025-10-11T00:00:00"/>
    <d v="2025-10-18T00:00:00"/>
    <x v="0"/>
    <x v="0"/>
    <d v="2025-11-09T00:00:00"/>
    <n v="3"/>
    <n v="5"/>
    <n v="7"/>
    <x v="10"/>
  </r>
  <r>
    <x v="76"/>
    <x v="3"/>
    <x v="0"/>
    <x v="24"/>
    <x v="27"/>
    <d v="2025-10-12T00:00:00"/>
    <d v="2025-10-15T00:00:00"/>
    <x v="0"/>
    <x v="0"/>
    <d v="2025-11-12T00:00:00"/>
    <n v="1"/>
    <n v="3"/>
    <n v="3"/>
    <x v="1"/>
  </r>
  <r>
    <x v="77"/>
    <x v="3"/>
    <x v="1"/>
    <x v="15"/>
    <x v="2"/>
    <m/>
    <m/>
    <x v="1"/>
    <x v="1"/>
    <m/>
    <m/>
    <m/>
    <m/>
    <x v="2"/>
  </r>
  <r>
    <x v="78"/>
    <x v="1"/>
    <x v="1"/>
    <x v="4"/>
    <x v="2"/>
    <m/>
    <m/>
    <x v="1"/>
    <x v="4"/>
    <m/>
    <m/>
    <m/>
    <m/>
    <x v="2"/>
  </r>
  <r>
    <x v="79"/>
    <x v="3"/>
    <x v="0"/>
    <x v="6"/>
    <x v="3"/>
    <d v="2025-10-20T00:00:00"/>
    <d v="2025-10-26T00:00:00"/>
    <x v="1"/>
    <x v="3"/>
    <m/>
    <n v="2"/>
    <n v="2"/>
    <n v="6"/>
    <x v="2"/>
  </r>
  <r>
    <x v="80"/>
    <x v="2"/>
    <x v="1"/>
    <x v="21"/>
    <x v="2"/>
    <m/>
    <m/>
    <x v="1"/>
    <x v="1"/>
    <m/>
    <m/>
    <m/>
    <m/>
    <x v="2"/>
  </r>
  <r>
    <x v="81"/>
    <x v="3"/>
    <x v="1"/>
    <x v="22"/>
    <x v="2"/>
    <m/>
    <m/>
    <x v="1"/>
    <x v="1"/>
    <m/>
    <m/>
    <m/>
    <m/>
    <x v="2"/>
  </r>
  <r>
    <x v="82"/>
    <x v="2"/>
    <x v="0"/>
    <x v="24"/>
    <x v="21"/>
    <d v="2025-10-13T00:00:00"/>
    <d v="2025-10-18T00:00:00"/>
    <x v="0"/>
    <x v="0"/>
    <d v="2025-10-29T00:00:00"/>
    <n v="2"/>
    <n v="3"/>
    <n v="5"/>
    <x v="7"/>
  </r>
  <r>
    <x v="83"/>
    <x v="1"/>
    <x v="2"/>
    <x v="12"/>
    <x v="28"/>
    <d v="2025-10-31T00:00:00"/>
    <d v="2025-11-05T00:00:00"/>
    <x v="0"/>
    <x v="0"/>
    <d v="2025-11-20T00:00:00"/>
    <n v="5"/>
    <n v="3"/>
    <n v="5"/>
    <x v="7"/>
  </r>
  <r>
    <x v="84"/>
    <x v="1"/>
    <x v="0"/>
    <x v="6"/>
    <x v="5"/>
    <d v="2025-10-22T00:00:00"/>
    <d v="2025-10-28T00:00:00"/>
    <x v="0"/>
    <x v="0"/>
    <d v="2025-11-26T00:00:00"/>
    <n v="4"/>
    <n v="2"/>
    <n v="6"/>
    <x v="8"/>
  </r>
  <r>
    <x v="85"/>
    <x v="1"/>
    <x v="1"/>
    <x v="0"/>
    <x v="2"/>
    <m/>
    <m/>
    <x v="1"/>
    <x v="2"/>
    <m/>
    <m/>
    <m/>
    <m/>
    <x v="2"/>
  </r>
  <r>
    <x v="86"/>
    <x v="1"/>
    <x v="2"/>
    <x v="12"/>
    <x v="9"/>
    <d v="2025-10-28T00:00:00"/>
    <d v="2025-10-31T00:00:00"/>
    <x v="0"/>
    <x v="0"/>
    <d v="2025-11-20T00:00:00"/>
    <n v="1"/>
    <n v="4"/>
    <n v="3"/>
    <x v="11"/>
  </r>
  <r>
    <x v="87"/>
    <x v="1"/>
    <x v="1"/>
    <x v="6"/>
    <x v="2"/>
    <m/>
    <m/>
    <x v="1"/>
    <x v="3"/>
    <m/>
    <m/>
    <m/>
    <m/>
    <x v="2"/>
  </r>
  <r>
    <x v="88"/>
    <x v="2"/>
    <x v="2"/>
    <x v="11"/>
    <x v="7"/>
    <d v="2025-10-20T00:00:00"/>
    <d v="2025-10-26T00:00:00"/>
    <x v="0"/>
    <x v="0"/>
    <d v="2025-11-24T00:00:00"/>
    <n v="2"/>
    <n v="3"/>
    <n v="6"/>
    <x v="7"/>
  </r>
  <r>
    <x v="89"/>
    <x v="2"/>
    <x v="2"/>
    <x v="19"/>
    <x v="12"/>
    <d v="2025-10-31T00:00:00"/>
    <d v="2025-11-05T00:00:00"/>
    <x v="0"/>
    <x v="0"/>
    <d v="2025-11-22T00:00:00"/>
    <n v="1"/>
    <n v="4"/>
    <n v="5"/>
    <x v="1"/>
  </r>
  <r>
    <x v="90"/>
    <x v="1"/>
    <x v="0"/>
    <x v="2"/>
    <x v="29"/>
    <d v="2025-10-05T00:00:00"/>
    <d v="2025-10-10T00:00:00"/>
    <x v="0"/>
    <x v="0"/>
    <d v="2025-11-09T00:00:00"/>
    <n v="1"/>
    <n v="3"/>
    <n v="5"/>
    <x v="6"/>
  </r>
  <r>
    <x v="91"/>
    <x v="3"/>
    <x v="2"/>
    <x v="25"/>
    <x v="30"/>
    <d v="2025-10-13T00:00:00"/>
    <d v="2025-10-16T00:00:00"/>
    <x v="0"/>
    <x v="0"/>
    <d v="2025-11-13T00:00:00"/>
    <n v="5"/>
    <n v="5"/>
    <n v="3"/>
    <x v="3"/>
  </r>
  <r>
    <x v="92"/>
    <x v="0"/>
    <x v="1"/>
    <x v="29"/>
    <x v="2"/>
    <m/>
    <m/>
    <x v="1"/>
    <x v="5"/>
    <m/>
    <m/>
    <m/>
    <m/>
    <x v="2"/>
  </r>
  <r>
    <x v="93"/>
    <x v="1"/>
    <x v="1"/>
    <x v="24"/>
    <x v="2"/>
    <m/>
    <m/>
    <x v="1"/>
    <x v="4"/>
    <m/>
    <m/>
    <m/>
    <m/>
    <x v="2"/>
  </r>
  <r>
    <x v="94"/>
    <x v="3"/>
    <x v="1"/>
    <x v="27"/>
    <x v="2"/>
    <m/>
    <m/>
    <x v="1"/>
    <x v="2"/>
    <m/>
    <m/>
    <m/>
    <m/>
    <x v="2"/>
  </r>
  <r>
    <x v="95"/>
    <x v="0"/>
    <x v="0"/>
    <x v="12"/>
    <x v="0"/>
    <d v="2025-10-28T00:00:00"/>
    <d v="2025-11-02T00:00:00"/>
    <x v="0"/>
    <x v="0"/>
    <d v="2025-11-15T00:00:00"/>
    <n v="2"/>
    <n v="3"/>
    <n v="5"/>
    <x v="3"/>
  </r>
  <r>
    <x v="96"/>
    <x v="1"/>
    <x v="2"/>
    <x v="24"/>
    <x v="20"/>
    <d v="2025-10-15T00:00:00"/>
    <d v="2025-10-22T00:00:00"/>
    <x v="1"/>
    <x v="4"/>
    <m/>
    <n v="4"/>
    <n v="3"/>
    <n v="7"/>
    <x v="2"/>
  </r>
  <r>
    <x v="97"/>
    <x v="1"/>
    <x v="0"/>
    <x v="29"/>
    <x v="1"/>
    <d v="2025-10-15T00:00:00"/>
    <d v="2025-10-21T00:00:00"/>
    <x v="0"/>
    <x v="0"/>
    <d v="2025-11-15T00:00:00"/>
    <n v="4"/>
    <n v="1"/>
    <n v="6"/>
    <x v="5"/>
  </r>
  <r>
    <x v="98"/>
    <x v="2"/>
    <x v="0"/>
    <x v="26"/>
    <x v="25"/>
    <d v="2025-10-31T00:00:00"/>
    <d v="2025-11-07T00:00:00"/>
    <x v="0"/>
    <x v="0"/>
    <d v="2025-11-21T00:00:00"/>
    <n v="4"/>
    <n v="5"/>
    <n v="7"/>
    <x v="6"/>
  </r>
  <r>
    <x v="99"/>
    <x v="0"/>
    <x v="0"/>
    <x v="23"/>
    <x v="31"/>
    <d v="2025-10-27T00:00:00"/>
    <d v="2025-11-03T00:00:00"/>
    <x v="0"/>
    <x v="0"/>
    <d v="2025-11-23T00:00:00"/>
    <n v="3"/>
    <n v="5"/>
    <n v="7"/>
    <x v="4"/>
  </r>
  <r>
    <x v="100"/>
    <x v="0"/>
    <x v="2"/>
    <x v="9"/>
    <x v="1"/>
    <d v="2025-10-18T00:00:00"/>
    <d v="2025-10-21T00:00:00"/>
    <x v="0"/>
    <x v="0"/>
    <d v="2025-11-02T00:00:00"/>
    <n v="2"/>
    <n v="4"/>
    <n v="3"/>
    <x v="10"/>
  </r>
  <r>
    <x v="101"/>
    <x v="3"/>
    <x v="0"/>
    <x v="6"/>
    <x v="22"/>
    <d v="2025-10-23T00:00:00"/>
    <d v="2025-10-29T00:00:00"/>
    <x v="0"/>
    <x v="0"/>
    <d v="2025-11-15T00:00:00"/>
    <n v="3"/>
    <n v="4"/>
    <n v="6"/>
    <x v="10"/>
  </r>
  <r>
    <x v="102"/>
    <x v="2"/>
    <x v="0"/>
    <x v="21"/>
    <x v="16"/>
    <d v="2025-10-24T00:00:00"/>
    <d v="2025-10-27T00:00:00"/>
    <x v="0"/>
    <x v="0"/>
    <d v="2025-11-17T00:00:00"/>
    <n v="3"/>
    <n v="3"/>
    <n v="3"/>
    <x v="6"/>
  </r>
  <r>
    <x v="103"/>
    <x v="2"/>
    <x v="1"/>
    <x v="16"/>
    <x v="2"/>
    <m/>
    <m/>
    <x v="1"/>
    <x v="5"/>
    <m/>
    <m/>
    <m/>
    <m/>
    <x v="2"/>
  </r>
  <r>
    <x v="104"/>
    <x v="2"/>
    <x v="1"/>
    <x v="9"/>
    <x v="2"/>
    <m/>
    <m/>
    <x v="1"/>
    <x v="5"/>
    <m/>
    <m/>
    <m/>
    <m/>
    <x v="2"/>
  </r>
  <r>
    <x v="105"/>
    <x v="2"/>
    <x v="0"/>
    <x v="4"/>
    <x v="7"/>
    <d v="2025-10-19T00:00:00"/>
    <d v="2025-10-24T00:00:00"/>
    <x v="0"/>
    <x v="0"/>
    <d v="2025-11-13T00:00:00"/>
    <n v="3"/>
    <n v="2"/>
    <n v="5"/>
    <x v="0"/>
  </r>
  <r>
    <x v="106"/>
    <x v="0"/>
    <x v="0"/>
    <x v="15"/>
    <x v="23"/>
    <d v="2025-11-01T00:00:00"/>
    <d v="2025-11-05T00:00:00"/>
    <x v="1"/>
    <x v="1"/>
    <m/>
    <n v="5"/>
    <n v="3"/>
    <n v="4"/>
    <x v="2"/>
  </r>
  <r>
    <x v="107"/>
    <x v="0"/>
    <x v="0"/>
    <x v="21"/>
    <x v="18"/>
    <d v="2025-10-24T00:00:00"/>
    <d v="2025-10-27T00:00:00"/>
    <x v="0"/>
    <x v="0"/>
    <d v="2025-11-11T00:00:00"/>
    <n v="5"/>
    <n v="1"/>
    <n v="3"/>
    <x v="4"/>
  </r>
  <r>
    <x v="108"/>
    <x v="1"/>
    <x v="2"/>
    <x v="1"/>
    <x v="20"/>
    <d v="2025-10-15T00:00:00"/>
    <d v="2025-10-18T00:00:00"/>
    <x v="0"/>
    <x v="0"/>
    <d v="2025-11-17T00:00:00"/>
    <n v="1"/>
    <n v="3"/>
    <n v="3"/>
    <x v="8"/>
  </r>
  <r>
    <x v="109"/>
    <x v="1"/>
    <x v="1"/>
    <x v="9"/>
    <x v="2"/>
    <m/>
    <m/>
    <x v="1"/>
    <x v="5"/>
    <m/>
    <m/>
    <m/>
    <m/>
    <x v="2"/>
  </r>
  <r>
    <x v="110"/>
    <x v="2"/>
    <x v="1"/>
    <x v="12"/>
    <x v="2"/>
    <m/>
    <m/>
    <x v="1"/>
    <x v="4"/>
    <m/>
    <m/>
    <m/>
    <m/>
    <x v="2"/>
  </r>
  <r>
    <x v="111"/>
    <x v="2"/>
    <x v="0"/>
    <x v="11"/>
    <x v="24"/>
    <d v="2025-10-17T00:00:00"/>
    <d v="2025-10-21T00:00:00"/>
    <x v="0"/>
    <x v="0"/>
    <d v="2025-11-02T00:00:00"/>
    <n v="1"/>
    <n v="1"/>
    <n v="4"/>
    <x v="0"/>
  </r>
  <r>
    <x v="112"/>
    <x v="2"/>
    <x v="0"/>
    <x v="17"/>
    <x v="17"/>
    <d v="2025-10-14T00:00:00"/>
    <d v="2025-10-19T00:00:00"/>
    <x v="1"/>
    <x v="3"/>
    <m/>
    <n v="2"/>
    <n v="3"/>
    <n v="5"/>
    <x v="2"/>
  </r>
  <r>
    <x v="113"/>
    <x v="1"/>
    <x v="2"/>
    <x v="29"/>
    <x v="20"/>
    <d v="2025-10-16T00:00:00"/>
    <d v="2025-10-22T00:00:00"/>
    <x v="0"/>
    <x v="0"/>
    <d v="2025-11-21T00:00:00"/>
    <n v="2"/>
    <n v="4"/>
    <n v="6"/>
    <x v="5"/>
  </r>
  <r>
    <x v="114"/>
    <x v="3"/>
    <x v="0"/>
    <x v="17"/>
    <x v="1"/>
    <d v="2025-10-17T00:00:00"/>
    <d v="2025-10-19T00:00:00"/>
    <x v="0"/>
    <x v="0"/>
    <d v="2025-11-08T00:00:00"/>
    <n v="5"/>
    <n v="3"/>
    <n v="2"/>
    <x v="4"/>
  </r>
  <r>
    <x v="115"/>
    <x v="3"/>
    <x v="2"/>
    <x v="24"/>
    <x v="27"/>
    <d v="2025-10-13T00:00:00"/>
    <d v="2025-10-17T00:00:00"/>
    <x v="0"/>
    <x v="0"/>
    <d v="2025-11-10T00:00:00"/>
    <n v="1"/>
    <n v="4"/>
    <n v="4"/>
    <x v="1"/>
  </r>
  <r>
    <x v="116"/>
    <x v="1"/>
    <x v="1"/>
    <x v="7"/>
    <x v="2"/>
    <m/>
    <m/>
    <x v="1"/>
    <x v="3"/>
    <m/>
    <m/>
    <m/>
    <m/>
    <x v="2"/>
  </r>
  <r>
    <x v="117"/>
    <x v="1"/>
    <x v="2"/>
    <x v="15"/>
    <x v="0"/>
    <d v="2025-10-27T00:00:00"/>
    <d v="2025-10-29T00:00:00"/>
    <x v="0"/>
    <x v="0"/>
    <d v="2025-11-08T00:00:00"/>
    <n v="1"/>
    <n v="2"/>
    <n v="2"/>
    <x v="10"/>
  </r>
  <r>
    <x v="118"/>
    <x v="1"/>
    <x v="0"/>
    <x v="28"/>
    <x v="21"/>
    <d v="2025-10-12T00:00:00"/>
    <d v="2025-10-17T00:00:00"/>
    <x v="0"/>
    <x v="0"/>
    <d v="2025-11-04T00:00:00"/>
    <n v="3"/>
    <n v="2"/>
    <n v="5"/>
    <x v="7"/>
  </r>
  <r>
    <x v="119"/>
    <x v="1"/>
    <x v="1"/>
    <x v="1"/>
    <x v="2"/>
    <m/>
    <m/>
    <x v="1"/>
    <x v="1"/>
    <m/>
    <m/>
    <m/>
    <m/>
    <x v="2"/>
  </r>
  <r>
    <x v="120"/>
    <x v="1"/>
    <x v="0"/>
    <x v="7"/>
    <x v="30"/>
    <d v="2025-10-13T00:00:00"/>
    <d v="2025-10-16T00:00:00"/>
    <x v="0"/>
    <x v="0"/>
    <d v="2025-11-01T00:00:00"/>
    <n v="4"/>
    <n v="5"/>
    <n v="3"/>
    <x v="10"/>
  </r>
  <r>
    <x v="121"/>
    <x v="1"/>
    <x v="2"/>
    <x v="15"/>
    <x v="28"/>
    <d v="2025-10-31T00:00:00"/>
    <d v="2025-11-03T00:00:00"/>
    <x v="0"/>
    <x v="0"/>
    <d v="2025-11-20T00:00:00"/>
    <n v="4"/>
    <n v="3"/>
    <n v="3"/>
    <x v="0"/>
  </r>
  <r>
    <x v="122"/>
    <x v="2"/>
    <x v="2"/>
    <x v="21"/>
    <x v="31"/>
    <d v="2025-10-27T00:00:00"/>
    <d v="2025-11-01T00:00:00"/>
    <x v="0"/>
    <x v="0"/>
    <d v="2025-11-13T00:00:00"/>
    <n v="4"/>
    <n v="5"/>
    <n v="5"/>
    <x v="5"/>
  </r>
  <r>
    <x v="123"/>
    <x v="2"/>
    <x v="2"/>
    <x v="8"/>
    <x v="32"/>
    <d v="2025-11-08T00:00:00"/>
    <d v="2025-11-14T00:00:00"/>
    <x v="0"/>
    <x v="0"/>
    <d v="2025-12-05T00:00:00"/>
    <n v="5"/>
    <n v="3"/>
    <n v="6"/>
    <x v="7"/>
  </r>
  <r>
    <x v="124"/>
    <x v="2"/>
    <x v="0"/>
    <x v="22"/>
    <x v="23"/>
    <d v="2025-10-31T00:00:00"/>
    <d v="2025-11-06T00:00:00"/>
    <x v="0"/>
    <x v="0"/>
    <d v="2025-11-24T00:00:00"/>
    <n v="4"/>
    <n v="2"/>
    <n v="6"/>
    <x v="8"/>
  </r>
  <r>
    <x v="125"/>
    <x v="2"/>
    <x v="2"/>
    <x v="12"/>
    <x v="12"/>
    <d v="2025-10-28T00:00:00"/>
    <d v="2025-11-04T00:00:00"/>
    <x v="0"/>
    <x v="0"/>
    <d v="2025-11-17T00:00:00"/>
    <n v="4"/>
    <n v="1"/>
    <n v="7"/>
    <x v="6"/>
  </r>
  <r>
    <x v="126"/>
    <x v="1"/>
    <x v="0"/>
    <x v="14"/>
    <x v="27"/>
    <d v="2025-10-14T00:00:00"/>
    <d v="2025-10-19T00:00:00"/>
    <x v="0"/>
    <x v="0"/>
    <d v="2025-10-29T00:00:00"/>
    <n v="3"/>
    <n v="5"/>
    <n v="5"/>
    <x v="8"/>
  </r>
  <r>
    <x v="127"/>
    <x v="3"/>
    <x v="1"/>
    <x v="28"/>
    <x v="2"/>
    <m/>
    <m/>
    <x v="1"/>
    <x v="4"/>
    <m/>
    <m/>
    <m/>
    <m/>
    <x v="2"/>
  </r>
  <r>
    <x v="128"/>
    <x v="0"/>
    <x v="2"/>
    <x v="28"/>
    <x v="27"/>
    <d v="2025-10-14T00:00:00"/>
    <d v="2025-10-19T00:00:00"/>
    <x v="0"/>
    <x v="0"/>
    <d v="2025-10-30T00:00:00"/>
    <n v="2"/>
    <n v="5"/>
    <n v="5"/>
    <x v="8"/>
  </r>
  <r>
    <x v="129"/>
    <x v="1"/>
    <x v="1"/>
    <x v="15"/>
    <x v="2"/>
    <m/>
    <m/>
    <x v="1"/>
    <x v="4"/>
    <m/>
    <m/>
    <m/>
    <m/>
    <x v="2"/>
  </r>
  <r>
    <x v="130"/>
    <x v="0"/>
    <x v="1"/>
    <x v="6"/>
    <x v="2"/>
    <m/>
    <m/>
    <x v="1"/>
    <x v="5"/>
    <m/>
    <m/>
    <m/>
    <m/>
    <x v="2"/>
  </r>
  <r>
    <x v="131"/>
    <x v="3"/>
    <x v="2"/>
    <x v="17"/>
    <x v="1"/>
    <d v="2025-10-16T00:00:00"/>
    <d v="2025-10-23T00:00:00"/>
    <x v="0"/>
    <x v="0"/>
    <d v="2025-11-14T00:00:00"/>
    <n v="5"/>
    <n v="2"/>
    <n v="7"/>
    <x v="8"/>
  </r>
  <r>
    <x v="132"/>
    <x v="2"/>
    <x v="1"/>
    <x v="15"/>
    <x v="2"/>
    <m/>
    <m/>
    <x v="1"/>
    <x v="4"/>
    <m/>
    <m/>
    <m/>
    <m/>
    <x v="2"/>
  </r>
  <r>
    <x v="133"/>
    <x v="3"/>
    <x v="0"/>
    <x v="23"/>
    <x v="5"/>
    <d v="2025-10-22T00:00:00"/>
    <d v="2025-10-27T00:00:00"/>
    <x v="0"/>
    <x v="0"/>
    <d v="2025-11-20T00:00:00"/>
    <n v="1"/>
    <n v="2"/>
    <n v="5"/>
    <x v="0"/>
  </r>
  <r>
    <x v="134"/>
    <x v="1"/>
    <x v="1"/>
    <x v="22"/>
    <x v="2"/>
    <m/>
    <m/>
    <x v="1"/>
    <x v="2"/>
    <m/>
    <m/>
    <m/>
    <m/>
    <x v="2"/>
  </r>
  <r>
    <x v="135"/>
    <x v="2"/>
    <x v="0"/>
    <x v="16"/>
    <x v="5"/>
    <d v="2025-10-21T00:00:00"/>
    <d v="2025-10-26T00:00:00"/>
    <x v="0"/>
    <x v="0"/>
    <d v="2025-11-18T00:00:00"/>
    <n v="3"/>
    <n v="1"/>
    <n v="5"/>
    <x v="9"/>
  </r>
  <r>
    <x v="136"/>
    <x v="1"/>
    <x v="0"/>
    <x v="18"/>
    <x v="9"/>
    <d v="2025-10-29T00:00:00"/>
    <d v="2025-11-05T00:00:00"/>
    <x v="0"/>
    <x v="0"/>
    <d v="2025-11-20T00:00:00"/>
    <n v="4"/>
    <n v="5"/>
    <n v="7"/>
    <x v="6"/>
  </r>
  <r>
    <x v="137"/>
    <x v="2"/>
    <x v="0"/>
    <x v="29"/>
    <x v="17"/>
    <d v="2025-10-13T00:00:00"/>
    <d v="2025-10-18T00:00:00"/>
    <x v="1"/>
    <x v="5"/>
    <m/>
    <n v="1"/>
    <n v="2"/>
    <n v="5"/>
    <x v="2"/>
  </r>
  <r>
    <x v="138"/>
    <x v="0"/>
    <x v="1"/>
    <x v="7"/>
    <x v="2"/>
    <m/>
    <m/>
    <x v="1"/>
    <x v="2"/>
    <m/>
    <m/>
    <m/>
    <m/>
    <x v="2"/>
  </r>
  <r>
    <x v="139"/>
    <x v="0"/>
    <x v="0"/>
    <x v="5"/>
    <x v="11"/>
    <d v="2025-11-01T00:00:00"/>
    <d v="2025-11-06T00:00:00"/>
    <x v="0"/>
    <x v="0"/>
    <d v="2025-11-29T00:00:00"/>
    <n v="3"/>
    <n v="2"/>
    <n v="5"/>
    <x v="7"/>
  </r>
  <r>
    <x v="140"/>
    <x v="0"/>
    <x v="0"/>
    <x v="28"/>
    <x v="20"/>
    <d v="2025-10-13T00:00:00"/>
    <d v="2025-10-16T00:00:00"/>
    <x v="0"/>
    <x v="0"/>
    <d v="2025-11-10T00:00:00"/>
    <n v="5"/>
    <n v="1"/>
    <n v="3"/>
    <x v="6"/>
  </r>
  <r>
    <x v="141"/>
    <x v="3"/>
    <x v="1"/>
    <x v="29"/>
    <x v="2"/>
    <m/>
    <m/>
    <x v="1"/>
    <x v="1"/>
    <m/>
    <m/>
    <m/>
    <m/>
    <x v="2"/>
  </r>
  <r>
    <x v="142"/>
    <x v="1"/>
    <x v="2"/>
    <x v="24"/>
    <x v="20"/>
    <d v="2025-10-13T00:00:00"/>
    <d v="2025-10-15T00:00:00"/>
    <x v="0"/>
    <x v="0"/>
    <d v="2025-11-06T00:00:00"/>
    <n v="4"/>
    <n v="1"/>
    <n v="2"/>
    <x v="8"/>
  </r>
  <r>
    <x v="143"/>
    <x v="3"/>
    <x v="2"/>
    <x v="9"/>
    <x v="7"/>
    <d v="2025-10-21T00:00:00"/>
    <d v="2025-10-27T00:00:00"/>
    <x v="0"/>
    <x v="0"/>
    <d v="2025-11-17T00:00:00"/>
    <n v="5"/>
    <n v="4"/>
    <n v="6"/>
    <x v="10"/>
  </r>
  <r>
    <x v="144"/>
    <x v="0"/>
    <x v="2"/>
    <x v="14"/>
    <x v="27"/>
    <d v="2025-10-12T00:00:00"/>
    <d v="2025-10-14T00:00:00"/>
    <x v="0"/>
    <x v="0"/>
    <d v="2025-11-10T00:00:00"/>
    <n v="3"/>
    <n v="3"/>
    <n v="2"/>
    <x v="5"/>
  </r>
  <r>
    <x v="145"/>
    <x v="1"/>
    <x v="0"/>
    <x v="29"/>
    <x v="17"/>
    <d v="2025-10-15T00:00:00"/>
    <d v="2025-10-18T00:00:00"/>
    <x v="0"/>
    <x v="0"/>
    <d v="2025-11-09T00:00:00"/>
    <n v="1"/>
    <n v="4"/>
    <n v="3"/>
    <x v="10"/>
  </r>
  <r>
    <x v="146"/>
    <x v="0"/>
    <x v="2"/>
    <x v="2"/>
    <x v="33"/>
    <d v="2025-10-04T00:00:00"/>
    <d v="2025-10-08T00:00:00"/>
    <x v="0"/>
    <x v="0"/>
    <d v="2025-10-21T00:00:00"/>
    <n v="2"/>
    <n v="1"/>
    <n v="4"/>
    <x v="5"/>
  </r>
  <r>
    <x v="147"/>
    <x v="3"/>
    <x v="1"/>
    <x v="12"/>
    <x v="2"/>
    <m/>
    <m/>
    <x v="1"/>
    <x v="3"/>
    <m/>
    <m/>
    <m/>
    <m/>
    <x v="2"/>
  </r>
  <r>
    <x v="148"/>
    <x v="3"/>
    <x v="2"/>
    <x v="21"/>
    <x v="31"/>
    <d v="2025-10-24T00:00:00"/>
    <d v="2025-10-26T00:00:00"/>
    <x v="0"/>
    <x v="0"/>
    <d v="2025-11-20T00:00:00"/>
    <n v="4"/>
    <n v="2"/>
    <n v="2"/>
    <x v="7"/>
  </r>
  <r>
    <x v="149"/>
    <x v="3"/>
    <x v="0"/>
    <x v="13"/>
    <x v="21"/>
    <d v="2025-10-11T00:00:00"/>
    <d v="2025-10-15T00:00:00"/>
    <x v="0"/>
    <x v="0"/>
    <d v="2025-11-12T00:00:00"/>
    <n v="5"/>
    <n v="1"/>
    <n v="4"/>
    <x v="8"/>
  </r>
  <r>
    <x v="150"/>
    <x v="0"/>
    <x v="2"/>
    <x v="17"/>
    <x v="21"/>
    <d v="2025-10-15T00:00:00"/>
    <d v="2025-10-18T00:00:00"/>
    <x v="0"/>
    <x v="0"/>
    <d v="2025-11-17T00:00:00"/>
    <n v="1"/>
    <n v="5"/>
    <n v="3"/>
    <x v="0"/>
  </r>
  <r>
    <x v="151"/>
    <x v="1"/>
    <x v="1"/>
    <x v="30"/>
    <x v="2"/>
    <m/>
    <m/>
    <x v="1"/>
    <x v="1"/>
    <m/>
    <m/>
    <m/>
    <m/>
    <x v="2"/>
  </r>
  <r>
    <x v="152"/>
    <x v="1"/>
    <x v="1"/>
    <x v="30"/>
    <x v="2"/>
    <m/>
    <m/>
    <x v="1"/>
    <x v="3"/>
    <m/>
    <m/>
    <m/>
    <m/>
    <x v="2"/>
  </r>
  <r>
    <x v="153"/>
    <x v="0"/>
    <x v="0"/>
    <x v="21"/>
    <x v="22"/>
    <d v="2025-10-21T00:00:00"/>
    <d v="2025-10-27T00:00:00"/>
    <x v="0"/>
    <x v="0"/>
    <d v="2025-11-13T00:00:00"/>
    <n v="1"/>
    <n v="2"/>
    <n v="6"/>
    <x v="11"/>
  </r>
  <r>
    <x v="154"/>
    <x v="1"/>
    <x v="1"/>
    <x v="29"/>
    <x v="2"/>
    <m/>
    <m/>
    <x v="1"/>
    <x v="1"/>
    <m/>
    <m/>
    <m/>
    <m/>
    <x v="2"/>
  </r>
  <r>
    <x v="155"/>
    <x v="0"/>
    <x v="2"/>
    <x v="12"/>
    <x v="0"/>
    <d v="2025-10-29T00:00:00"/>
    <d v="2025-11-02T00:00:00"/>
    <x v="0"/>
    <x v="0"/>
    <d v="2025-11-17T00:00:00"/>
    <n v="2"/>
    <n v="4"/>
    <n v="4"/>
    <x v="8"/>
  </r>
  <r>
    <x v="156"/>
    <x v="1"/>
    <x v="1"/>
    <x v="8"/>
    <x v="2"/>
    <m/>
    <m/>
    <x v="1"/>
    <x v="4"/>
    <m/>
    <m/>
    <m/>
    <m/>
    <x v="2"/>
  </r>
  <r>
    <x v="157"/>
    <x v="2"/>
    <x v="2"/>
    <x v="13"/>
    <x v="30"/>
    <d v="2025-10-12T00:00:00"/>
    <d v="2025-10-15T00:00:00"/>
    <x v="0"/>
    <x v="0"/>
    <d v="2025-11-08T00:00:00"/>
    <n v="3"/>
    <n v="4"/>
    <n v="3"/>
    <x v="1"/>
  </r>
  <r>
    <x v="158"/>
    <x v="2"/>
    <x v="1"/>
    <x v="0"/>
    <x v="2"/>
    <m/>
    <m/>
    <x v="1"/>
    <x v="2"/>
    <m/>
    <m/>
    <m/>
    <m/>
    <x v="2"/>
  </r>
  <r>
    <x v="159"/>
    <x v="3"/>
    <x v="2"/>
    <x v="3"/>
    <x v="11"/>
    <d v="2025-11-03T00:00:00"/>
    <d v="2025-11-08T00:00:00"/>
    <x v="0"/>
    <x v="0"/>
    <d v="2025-11-20T00:00:00"/>
    <n v="2"/>
    <n v="4"/>
    <n v="5"/>
    <x v="7"/>
  </r>
  <r>
    <x v="160"/>
    <x v="2"/>
    <x v="0"/>
    <x v="22"/>
    <x v="12"/>
    <d v="2025-10-29T00:00:00"/>
    <d v="2025-11-04T00:00:00"/>
    <x v="0"/>
    <x v="0"/>
    <d v="2025-11-15T00:00:00"/>
    <n v="2"/>
    <n v="2"/>
    <n v="6"/>
    <x v="9"/>
  </r>
  <r>
    <x v="161"/>
    <x v="2"/>
    <x v="0"/>
    <x v="6"/>
    <x v="22"/>
    <d v="2025-10-22T00:00:00"/>
    <d v="2025-10-29T00:00:00"/>
    <x v="0"/>
    <x v="0"/>
    <d v="2025-11-17T00:00:00"/>
    <n v="3"/>
    <n v="3"/>
    <n v="7"/>
    <x v="0"/>
  </r>
  <r>
    <x v="162"/>
    <x v="2"/>
    <x v="2"/>
    <x v="7"/>
    <x v="15"/>
    <d v="2025-10-10T00:00:00"/>
    <d v="2025-10-15T00:00:00"/>
    <x v="0"/>
    <x v="0"/>
    <d v="2025-10-25T00:00:00"/>
    <n v="3"/>
    <n v="3"/>
    <n v="5"/>
    <x v="11"/>
  </r>
  <r>
    <x v="163"/>
    <x v="0"/>
    <x v="2"/>
    <x v="3"/>
    <x v="4"/>
    <d v="2025-11-03T00:00:00"/>
    <d v="2025-11-09T00:00:00"/>
    <x v="0"/>
    <x v="0"/>
    <d v="2025-11-29T00:00:00"/>
    <n v="3"/>
    <n v="3"/>
    <n v="6"/>
    <x v="7"/>
  </r>
  <r>
    <x v="164"/>
    <x v="2"/>
    <x v="2"/>
    <x v="2"/>
    <x v="29"/>
    <d v="2025-10-03T00:00:00"/>
    <d v="2025-10-09T00:00:00"/>
    <x v="0"/>
    <x v="0"/>
    <d v="2025-10-27T00:00:00"/>
    <n v="1"/>
    <n v="1"/>
    <n v="6"/>
    <x v="5"/>
  </r>
  <r>
    <x v="165"/>
    <x v="2"/>
    <x v="0"/>
    <x v="23"/>
    <x v="5"/>
    <d v="2025-10-21T00:00:00"/>
    <d v="2025-10-23T00:00:00"/>
    <x v="0"/>
    <x v="0"/>
    <d v="2025-11-05T00:00:00"/>
    <n v="1"/>
    <n v="1"/>
    <n v="2"/>
    <x v="0"/>
  </r>
  <r>
    <x v="166"/>
    <x v="3"/>
    <x v="0"/>
    <x v="29"/>
    <x v="1"/>
    <d v="2025-10-19T00:00:00"/>
    <d v="2025-10-25T00:00:00"/>
    <x v="1"/>
    <x v="3"/>
    <m/>
    <n v="4"/>
    <n v="5"/>
    <n v="6"/>
    <x v="2"/>
  </r>
  <r>
    <x v="167"/>
    <x v="2"/>
    <x v="2"/>
    <x v="6"/>
    <x v="5"/>
    <d v="2025-10-22T00:00:00"/>
    <d v="2025-10-24T00:00:00"/>
    <x v="1"/>
    <x v="5"/>
    <m/>
    <n v="4"/>
    <n v="2"/>
    <n v="2"/>
    <x v="2"/>
  </r>
  <r>
    <x v="168"/>
    <x v="2"/>
    <x v="0"/>
    <x v="6"/>
    <x v="3"/>
    <d v="2025-10-23T00:00:00"/>
    <d v="2025-10-27T00:00:00"/>
    <x v="0"/>
    <x v="0"/>
    <d v="2025-11-08T00:00:00"/>
    <n v="2"/>
    <n v="5"/>
    <n v="4"/>
    <x v="7"/>
  </r>
  <r>
    <x v="169"/>
    <x v="1"/>
    <x v="2"/>
    <x v="11"/>
    <x v="7"/>
    <d v="2025-10-18T00:00:00"/>
    <d v="2025-10-24T00:00:00"/>
    <x v="0"/>
    <x v="0"/>
    <d v="2025-11-13T00:00:00"/>
    <n v="2"/>
    <n v="1"/>
    <n v="6"/>
    <x v="0"/>
  </r>
  <r>
    <x v="170"/>
    <x v="3"/>
    <x v="1"/>
    <x v="1"/>
    <x v="2"/>
    <m/>
    <m/>
    <x v="1"/>
    <x v="2"/>
    <m/>
    <m/>
    <m/>
    <m/>
    <x v="2"/>
  </r>
  <r>
    <x v="171"/>
    <x v="3"/>
    <x v="2"/>
    <x v="14"/>
    <x v="21"/>
    <d v="2025-10-12T00:00:00"/>
    <d v="2025-10-16T00:00:00"/>
    <x v="0"/>
    <x v="0"/>
    <d v="2025-10-31T00:00:00"/>
    <n v="4"/>
    <n v="2"/>
    <n v="4"/>
    <x v="10"/>
  </r>
  <r>
    <x v="172"/>
    <x v="3"/>
    <x v="2"/>
    <x v="8"/>
    <x v="32"/>
    <d v="2025-11-09T00:00:00"/>
    <d v="2025-11-15T00:00:00"/>
    <x v="0"/>
    <x v="0"/>
    <d v="2025-12-07T00:00:00"/>
    <n v="5"/>
    <n v="4"/>
    <n v="6"/>
    <x v="1"/>
  </r>
  <r>
    <x v="173"/>
    <x v="3"/>
    <x v="2"/>
    <x v="30"/>
    <x v="26"/>
    <d v="2025-10-06T00:00:00"/>
    <d v="2025-10-08T00:00:00"/>
    <x v="0"/>
    <x v="0"/>
    <d v="2025-10-23T00:00:00"/>
    <n v="2"/>
    <n v="2"/>
    <n v="2"/>
    <x v="5"/>
  </r>
  <r>
    <x v="174"/>
    <x v="3"/>
    <x v="0"/>
    <x v="17"/>
    <x v="1"/>
    <d v="2025-10-15T00:00:00"/>
    <d v="2025-10-22T00:00:00"/>
    <x v="0"/>
    <x v="0"/>
    <d v="2025-11-03T00:00:00"/>
    <n v="5"/>
    <n v="1"/>
    <n v="7"/>
    <x v="5"/>
  </r>
  <r>
    <x v="175"/>
    <x v="3"/>
    <x v="1"/>
    <x v="8"/>
    <x v="2"/>
    <m/>
    <m/>
    <x v="1"/>
    <x v="5"/>
    <m/>
    <m/>
    <m/>
    <m/>
    <x v="2"/>
  </r>
  <r>
    <x v="176"/>
    <x v="0"/>
    <x v="0"/>
    <x v="3"/>
    <x v="34"/>
    <d v="2025-11-06T00:00:00"/>
    <d v="2025-11-11T00:00:00"/>
    <x v="0"/>
    <x v="0"/>
    <d v="2025-12-08T00:00:00"/>
    <n v="5"/>
    <n v="4"/>
    <n v="5"/>
    <x v="9"/>
  </r>
  <r>
    <x v="177"/>
    <x v="2"/>
    <x v="2"/>
    <x v="6"/>
    <x v="22"/>
    <d v="2025-10-23T00:00:00"/>
    <d v="2025-10-29T00:00:00"/>
    <x v="0"/>
    <x v="0"/>
    <d v="2025-11-10T00:00:00"/>
    <n v="3"/>
    <n v="4"/>
    <n v="6"/>
    <x v="7"/>
  </r>
  <r>
    <x v="178"/>
    <x v="3"/>
    <x v="0"/>
    <x v="7"/>
    <x v="6"/>
    <d v="2025-10-07T00:00:00"/>
    <d v="2025-10-10T00:00:00"/>
    <x v="0"/>
    <x v="0"/>
    <d v="2025-10-30T00:00:00"/>
    <n v="1"/>
    <n v="2"/>
    <n v="3"/>
    <x v="3"/>
  </r>
  <r>
    <x v="179"/>
    <x v="2"/>
    <x v="0"/>
    <x v="5"/>
    <x v="4"/>
    <d v="2025-11-03T00:00:00"/>
    <d v="2025-11-08T00:00:00"/>
    <x v="0"/>
    <x v="0"/>
    <d v="2025-12-07T00:00:00"/>
    <n v="4"/>
    <n v="3"/>
    <n v="5"/>
    <x v="8"/>
  </r>
  <r>
    <x v="180"/>
    <x v="2"/>
    <x v="2"/>
    <x v="25"/>
    <x v="26"/>
    <d v="2025-10-05T00:00:00"/>
    <d v="2025-10-07T00:00:00"/>
    <x v="0"/>
    <x v="0"/>
    <d v="2025-11-05T00:00:00"/>
    <n v="1"/>
    <n v="1"/>
    <n v="2"/>
    <x v="10"/>
  </r>
  <r>
    <x v="181"/>
    <x v="0"/>
    <x v="0"/>
    <x v="27"/>
    <x v="7"/>
    <d v="2025-10-18T00:00:00"/>
    <d v="2025-10-25T00:00:00"/>
    <x v="0"/>
    <x v="0"/>
    <d v="2025-11-19T00:00:00"/>
    <n v="4"/>
    <n v="1"/>
    <n v="7"/>
    <x v="8"/>
  </r>
  <r>
    <x v="182"/>
    <x v="3"/>
    <x v="1"/>
    <x v="6"/>
    <x v="2"/>
    <m/>
    <m/>
    <x v="1"/>
    <x v="2"/>
    <m/>
    <m/>
    <m/>
    <m/>
    <x v="2"/>
  </r>
  <r>
    <x v="183"/>
    <x v="1"/>
    <x v="2"/>
    <x v="25"/>
    <x v="26"/>
    <d v="2025-10-07T00:00:00"/>
    <d v="2025-10-14T00:00:00"/>
    <x v="0"/>
    <x v="0"/>
    <d v="2025-10-24T00:00:00"/>
    <n v="1"/>
    <n v="3"/>
    <n v="7"/>
    <x v="5"/>
  </r>
  <r>
    <x v="184"/>
    <x v="0"/>
    <x v="0"/>
    <x v="23"/>
    <x v="18"/>
    <d v="2025-10-28T00:00:00"/>
    <d v="2025-10-31T00:00:00"/>
    <x v="0"/>
    <x v="0"/>
    <d v="2025-11-23T00:00:00"/>
    <n v="4"/>
    <n v="5"/>
    <n v="3"/>
    <x v="9"/>
  </r>
  <r>
    <x v="185"/>
    <x v="1"/>
    <x v="0"/>
    <x v="0"/>
    <x v="31"/>
    <d v="2025-10-27T00:00:00"/>
    <d v="2025-10-31T00:00:00"/>
    <x v="0"/>
    <x v="0"/>
    <d v="2025-11-30T00:00:00"/>
    <n v="1"/>
    <n v="5"/>
    <n v="4"/>
    <x v="0"/>
  </r>
  <r>
    <x v="186"/>
    <x v="2"/>
    <x v="0"/>
    <x v="26"/>
    <x v="0"/>
    <d v="2025-10-26T00:00:00"/>
    <d v="2025-10-28T00:00:00"/>
    <x v="0"/>
    <x v="0"/>
    <d v="2025-11-12T00:00:00"/>
    <n v="3"/>
    <n v="1"/>
    <n v="2"/>
    <x v="9"/>
  </r>
  <r>
    <x v="187"/>
    <x v="2"/>
    <x v="2"/>
    <x v="30"/>
    <x v="15"/>
    <d v="2025-10-10T00:00:00"/>
    <d v="2025-10-15T00:00:00"/>
    <x v="0"/>
    <x v="0"/>
    <d v="2025-11-13T00:00:00"/>
    <n v="5"/>
    <n v="3"/>
    <n v="5"/>
    <x v="11"/>
  </r>
  <r>
    <x v="188"/>
    <x v="0"/>
    <x v="2"/>
    <x v="13"/>
    <x v="27"/>
    <d v="2025-10-12T00:00:00"/>
    <d v="2025-10-16T00:00:00"/>
    <x v="0"/>
    <x v="0"/>
    <d v="2025-11-08T00:00:00"/>
    <n v="4"/>
    <n v="3"/>
    <n v="4"/>
    <x v="3"/>
  </r>
  <r>
    <x v="189"/>
    <x v="0"/>
    <x v="1"/>
    <x v="13"/>
    <x v="2"/>
    <m/>
    <m/>
    <x v="1"/>
    <x v="2"/>
    <m/>
    <m/>
    <m/>
    <m/>
    <x v="2"/>
  </r>
  <r>
    <x v="190"/>
    <x v="1"/>
    <x v="1"/>
    <x v="19"/>
    <x v="2"/>
    <m/>
    <m/>
    <x v="1"/>
    <x v="1"/>
    <m/>
    <m/>
    <m/>
    <m/>
    <x v="2"/>
  </r>
  <r>
    <x v="191"/>
    <x v="3"/>
    <x v="0"/>
    <x v="23"/>
    <x v="9"/>
    <d v="2025-10-28T00:00:00"/>
    <d v="2025-11-01T00:00:00"/>
    <x v="0"/>
    <x v="0"/>
    <d v="2025-11-16T00:00:00"/>
    <n v="5"/>
    <n v="4"/>
    <n v="4"/>
    <x v="4"/>
  </r>
  <r>
    <x v="192"/>
    <x v="1"/>
    <x v="0"/>
    <x v="8"/>
    <x v="8"/>
    <d v="2025-11-09T00:00:00"/>
    <d v="2025-11-11T00:00:00"/>
    <x v="1"/>
    <x v="3"/>
    <m/>
    <n v="4"/>
    <n v="5"/>
    <n v="2"/>
    <x v="2"/>
  </r>
  <r>
    <x v="193"/>
    <x v="0"/>
    <x v="0"/>
    <x v="29"/>
    <x v="1"/>
    <d v="2025-10-19T00:00:00"/>
    <d v="2025-10-24T00:00:00"/>
    <x v="0"/>
    <x v="0"/>
    <d v="2025-11-04T00:00:00"/>
    <n v="4"/>
    <n v="5"/>
    <n v="5"/>
    <x v="7"/>
  </r>
  <r>
    <x v="194"/>
    <x v="1"/>
    <x v="0"/>
    <x v="25"/>
    <x v="13"/>
    <d v="2025-10-10T00:00:00"/>
    <d v="2025-10-12T00:00:00"/>
    <x v="0"/>
    <x v="0"/>
    <d v="2025-10-25T00:00:00"/>
    <n v="3"/>
    <n v="4"/>
    <n v="2"/>
    <x v="9"/>
  </r>
  <r>
    <x v="195"/>
    <x v="0"/>
    <x v="0"/>
    <x v="24"/>
    <x v="27"/>
    <d v="2025-10-11T00:00:00"/>
    <d v="2025-10-14T00:00:00"/>
    <x v="0"/>
    <x v="0"/>
    <d v="2025-11-03T00:00:00"/>
    <n v="1"/>
    <n v="2"/>
    <n v="3"/>
    <x v="3"/>
  </r>
  <r>
    <x v="196"/>
    <x v="1"/>
    <x v="2"/>
    <x v="7"/>
    <x v="30"/>
    <d v="2025-10-13T00:00:00"/>
    <d v="2025-10-16T00:00:00"/>
    <x v="0"/>
    <x v="0"/>
    <d v="2025-11-01T00:00:00"/>
    <n v="4"/>
    <n v="5"/>
    <n v="3"/>
    <x v="4"/>
  </r>
  <r>
    <x v="197"/>
    <x v="0"/>
    <x v="1"/>
    <x v="21"/>
    <x v="2"/>
    <m/>
    <m/>
    <x v="1"/>
    <x v="3"/>
    <m/>
    <m/>
    <m/>
    <m/>
    <x v="2"/>
  </r>
  <r>
    <x v="198"/>
    <x v="0"/>
    <x v="0"/>
    <x v="22"/>
    <x v="25"/>
    <d v="2025-10-30T00:00:00"/>
    <d v="2025-11-06T00:00:00"/>
    <x v="0"/>
    <x v="0"/>
    <d v="2025-11-22T00:00:00"/>
    <n v="1"/>
    <n v="4"/>
    <n v="7"/>
    <x v="1"/>
  </r>
  <r>
    <x v="199"/>
    <x v="0"/>
    <x v="1"/>
    <x v="4"/>
    <x v="2"/>
    <m/>
    <m/>
    <x v="1"/>
    <x v="2"/>
    <m/>
    <m/>
    <m/>
    <m/>
    <x v="2"/>
  </r>
  <r>
    <x v="200"/>
    <x v="3"/>
    <x v="2"/>
    <x v="18"/>
    <x v="18"/>
    <d v="2025-10-26T00:00:00"/>
    <d v="2025-11-01T00:00:00"/>
    <x v="0"/>
    <x v="0"/>
    <d v="2025-11-24T00:00:00"/>
    <n v="3"/>
    <n v="3"/>
    <n v="6"/>
    <x v="5"/>
  </r>
  <r>
    <x v="201"/>
    <x v="1"/>
    <x v="2"/>
    <x v="18"/>
    <x v="31"/>
    <d v="2025-10-24T00:00:00"/>
    <d v="2025-10-31T00:00:00"/>
    <x v="0"/>
    <x v="0"/>
    <d v="2025-11-27T00:00:00"/>
    <n v="2"/>
    <n v="2"/>
    <n v="7"/>
    <x v="0"/>
  </r>
  <r>
    <x v="202"/>
    <x v="1"/>
    <x v="2"/>
    <x v="19"/>
    <x v="4"/>
    <d v="2025-11-01T00:00:00"/>
    <d v="2025-11-05T00:00:00"/>
    <x v="0"/>
    <x v="0"/>
    <d v="2025-12-02T00:00:00"/>
    <n v="5"/>
    <n v="1"/>
    <n v="4"/>
    <x v="0"/>
  </r>
  <r>
    <x v="203"/>
    <x v="1"/>
    <x v="0"/>
    <x v="18"/>
    <x v="9"/>
    <d v="2025-10-27T00:00:00"/>
    <d v="2025-11-03T00:00:00"/>
    <x v="0"/>
    <x v="0"/>
    <d v="2025-11-21T00:00:00"/>
    <n v="4"/>
    <n v="3"/>
    <n v="7"/>
    <x v="3"/>
  </r>
  <r>
    <x v="204"/>
    <x v="0"/>
    <x v="1"/>
    <x v="24"/>
    <x v="2"/>
    <m/>
    <m/>
    <x v="1"/>
    <x v="4"/>
    <m/>
    <m/>
    <m/>
    <m/>
    <x v="2"/>
  </r>
  <r>
    <x v="205"/>
    <x v="1"/>
    <x v="2"/>
    <x v="22"/>
    <x v="28"/>
    <d v="2025-10-30T00:00:00"/>
    <d v="2025-11-05T00:00:00"/>
    <x v="0"/>
    <x v="0"/>
    <d v="2025-11-24T00:00:00"/>
    <n v="3"/>
    <n v="2"/>
    <n v="6"/>
    <x v="0"/>
  </r>
  <r>
    <x v="206"/>
    <x v="1"/>
    <x v="1"/>
    <x v="16"/>
    <x v="2"/>
    <m/>
    <m/>
    <x v="1"/>
    <x v="4"/>
    <m/>
    <m/>
    <m/>
    <m/>
    <x v="2"/>
  </r>
  <r>
    <x v="207"/>
    <x v="0"/>
    <x v="0"/>
    <x v="27"/>
    <x v="1"/>
    <d v="2025-10-18T00:00:00"/>
    <d v="2025-10-25T00:00:00"/>
    <x v="0"/>
    <x v="0"/>
    <d v="2025-11-13T00:00:00"/>
    <n v="1"/>
    <n v="4"/>
    <n v="7"/>
    <x v="11"/>
  </r>
  <r>
    <x v="208"/>
    <x v="2"/>
    <x v="1"/>
    <x v="11"/>
    <x v="2"/>
    <m/>
    <m/>
    <x v="1"/>
    <x v="5"/>
    <m/>
    <m/>
    <m/>
    <m/>
    <x v="2"/>
  </r>
  <r>
    <x v="209"/>
    <x v="0"/>
    <x v="2"/>
    <x v="20"/>
    <x v="35"/>
    <d v="2025-11-06T00:00:00"/>
    <d v="2025-11-11T00:00:00"/>
    <x v="0"/>
    <x v="0"/>
    <d v="2025-11-28T00:00:00"/>
    <n v="4"/>
    <n v="3"/>
    <n v="5"/>
    <x v="3"/>
  </r>
  <r>
    <x v="210"/>
    <x v="1"/>
    <x v="1"/>
    <x v="11"/>
    <x v="2"/>
    <m/>
    <m/>
    <x v="1"/>
    <x v="5"/>
    <m/>
    <m/>
    <m/>
    <m/>
    <x v="2"/>
  </r>
  <r>
    <x v="211"/>
    <x v="0"/>
    <x v="0"/>
    <x v="29"/>
    <x v="17"/>
    <d v="2025-10-13T00:00:00"/>
    <d v="2025-10-16T00:00:00"/>
    <x v="1"/>
    <x v="1"/>
    <m/>
    <n v="1"/>
    <n v="2"/>
    <n v="3"/>
    <x v="2"/>
  </r>
  <r>
    <x v="212"/>
    <x v="2"/>
    <x v="2"/>
    <x v="3"/>
    <x v="11"/>
    <d v="2025-10-31T00:00:00"/>
    <d v="2025-11-06T00:00:00"/>
    <x v="0"/>
    <x v="0"/>
    <d v="2025-11-19T00:00:00"/>
    <n v="2"/>
    <n v="1"/>
    <n v="6"/>
    <x v="8"/>
  </r>
  <r>
    <x v="213"/>
    <x v="0"/>
    <x v="2"/>
    <x v="23"/>
    <x v="18"/>
    <d v="2025-10-26T00:00:00"/>
    <d v="2025-10-29T00:00:00"/>
    <x v="0"/>
    <x v="0"/>
    <d v="2025-11-09T00:00:00"/>
    <n v="4"/>
    <n v="3"/>
    <n v="3"/>
    <x v="0"/>
  </r>
  <r>
    <x v="214"/>
    <x v="1"/>
    <x v="1"/>
    <x v="4"/>
    <x v="2"/>
    <m/>
    <m/>
    <x v="1"/>
    <x v="2"/>
    <m/>
    <m/>
    <m/>
    <m/>
    <x v="2"/>
  </r>
  <r>
    <x v="215"/>
    <x v="2"/>
    <x v="1"/>
    <x v="29"/>
    <x v="2"/>
    <m/>
    <m/>
    <x v="1"/>
    <x v="5"/>
    <m/>
    <m/>
    <m/>
    <m/>
    <x v="2"/>
  </r>
  <r>
    <x v="216"/>
    <x v="3"/>
    <x v="2"/>
    <x v="23"/>
    <x v="9"/>
    <d v="2025-10-27T00:00:00"/>
    <d v="2025-10-30T00:00:00"/>
    <x v="0"/>
    <x v="0"/>
    <d v="2025-11-21T00:00:00"/>
    <n v="5"/>
    <n v="3"/>
    <n v="3"/>
    <x v="6"/>
  </r>
  <r>
    <x v="217"/>
    <x v="1"/>
    <x v="0"/>
    <x v="18"/>
    <x v="9"/>
    <d v="2025-10-29T00:00:00"/>
    <d v="2025-11-01T00:00:00"/>
    <x v="1"/>
    <x v="5"/>
    <m/>
    <n v="4"/>
    <n v="5"/>
    <n v="3"/>
    <x v="2"/>
  </r>
  <r>
    <x v="218"/>
    <x v="2"/>
    <x v="1"/>
    <x v="30"/>
    <x v="2"/>
    <m/>
    <m/>
    <x v="1"/>
    <x v="2"/>
    <m/>
    <m/>
    <m/>
    <m/>
    <x v="2"/>
  </r>
  <r>
    <x v="219"/>
    <x v="2"/>
    <x v="1"/>
    <x v="18"/>
    <x v="2"/>
    <m/>
    <m/>
    <x v="1"/>
    <x v="1"/>
    <m/>
    <m/>
    <m/>
    <m/>
    <x v="2"/>
  </r>
  <r>
    <x v="220"/>
    <x v="3"/>
    <x v="1"/>
    <x v="8"/>
    <x v="2"/>
    <m/>
    <m/>
    <x v="1"/>
    <x v="5"/>
    <m/>
    <m/>
    <m/>
    <m/>
    <x v="2"/>
  </r>
  <r>
    <x v="221"/>
    <x v="0"/>
    <x v="0"/>
    <x v="15"/>
    <x v="23"/>
    <d v="2025-10-31T00:00:00"/>
    <d v="2025-11-02T00:00:00"/>
    <x v="0"/>
    <x v="0"/>
    <d v="2025-11-30T00:00:00"/>
    <n v="5"/>
    <n v="2"/>
    <n v="2"/>
    <x v="9"/>
  </r>
  <r>
    <x v="222"/>
    <x v="0"/>
    <x v="0"/>
    <x v="7"/>
    <x v="6"/>
    <d v="2025-10-07T00:00:00"/>
    <d v="2025-10-13T00:00:00"/>
    <x v="0"/>
    <x v="0"/>
    <d v="2025-11-09T00:00:00"/>
    <n v="1"/>
    <n v="2"/>
    <n v="6"/>
    <x v="10"/>
  </r>
  <r>
    <x v="223"/>
    <x v="1"/>
    <x v="0"/>
    <x v="8"/>
    <x v="8"/>
    <d v="2025-11-09T00:00:00"/>
    <d v="2025-11-13T00:00:00"/>
    <x v="0"/>
    <x v="0"/>
    <d v="2025-12-08T00:00:00"/>
    <n v="4"/>
    <n v="5"/>
    <n v="4"/>
    <x v="11"/>
  </r>
  <r>
    <x v="224"/>
    <x v="3"/>
    <x v="0"/>
    <x v="22"/>
    <x v="28"/>
    <d v="2025-11-01T00:00:00"/>
    <d v="2025-11-07T00:00:00"/>
    <x v="0"/>
    <x v="0"/>
    <d v="2025-11-21T00:00:00"/>
    <n v="3"/>
    <n v="4"/>
    <n v="6"/>
    <x v="9"/>
  </r>
  <r>
    <x v="225"/>
    <x v="0"/>
    <x v="0"/>
    <x v="28"/>
    <x v="21"/>
    <d v="2025-10-14T00:00:00"/>
    <d v="2025-10-18T00:00:00"/>
    <x v="1"/>
    <x v="1"/>
    <m/>
    <n v="3"/>
    <n v="4"/>
    <n v="4"/>
    <x v="2"/>
  </r>
  <r>
    <x v="226"/>
    <x v="3"/>
    <x v="0"/>
    <x v="0"/>
    <x v="18"/>
    <d v="2025-10-28T00:00:00"/>
    <d v="2025-11-03T00:00:00"/>
    <x v="1"/>
    <x v="3"/>
    <m/>
    <n v="2"/>
    <n v="5"/>
    <n v="6"/>
    <x v="2"/>
  </r>
  <r>
    <x v="227"/>
    <x v="0"/>
    <x v="2"/>
    <x v="28"/>
    <x v="21"/>
    <d v="2025-10-13T00:00:00"/>
    <d v="2025-10-19T00:00:00"/>
    <x v="0"/>
    <x v="0"/>
    <d v="2025-10-30T00:00:00"/>
    <n v="3"/>
    <n v="3"/>
    <n v="6"/>
    <x v="8"/>
  </r>
  <r>
    <x v="228"/>
    <x v="2"/>
    <x v="1"/>
    <x v="17"/>
    <x v="2"/>
    <m/>
    <m/>
    <x v="1"/>
    <x v="1"/>
    <m/>
    <m/>
    <m/>
    <m/>
    <x v="2"/>
  </r>
  <r>
    <x v="229"/>
    <x v="0"/>
    <x v="0"/>
    <x v="26"/>
    <x v="9"/>
    <d v="2025-10-25T00:00:00"/>
    <d v="2025-10-28T00:00:00"/>
    <x v="0"/>
    <x v="0"/>
    <d v="2025-11-18T00:00:00"/>
    <n v="2"/>
    <n v="1"/>
    <n v="3"/>
    <x v="0"/>
  </r>
  <r>
    <x v="230"/>
    <x v="3"/>
    <x v="0"/>
    <x v="25"/>
    <x v="26"/>
    <d v="2025-10-08T00:00:00"/>
    <d v="2025-10-12T00:00:00"/>
    <x v="0"/>
    <x v="0"/>
    <d v="2025-10-22T00:00:00"/>
    <n v="1"/>
    <n v="4"/>
    <n v="4"/>
    <x v="0"/>
  </r>
  <r>
    <x v="231"/>
    <x v="2"/>
    <x v="0"/>
    <x v="14"/>
    <x v="17"/>
    <d v="2025-10-12T00:00:00"/>
    <d v="2025-10-19T00:00:00"/>
    <x v="0"/>
    <x v="0"/>
    <d v="2025-11-11T00:00:00"/>
    <n v="5"/>
    <n v="1"/>
    <n v="7"/>
    <x v="1"/>
  </r>
  <r>
    <x v="232"/>
    <x v="2"/>
    <x v="0"/>
    <x v="24"/>
    <x v="27"/>
    <d v="2025-10-11T00:00:00"/>
    <d v="2025-10-15T00:00:00"/>
    <x v="1"/>
    <x v="4"/>
    <m/>
    <n v="1"/>
    <n v="2"/>
    <n v="4"/>
    <x v="2"/>
  </r>
  <r>
    <x v="233"/>
    <x v="2"/>
    <x v="2"/>
    <x v="14"/>
    <x v="17"/>
    <d v="2025-10-13T00:00:00"/>
    <d v="2025-10-17T00:00:00"/>
    <x v="0"/>
    <x v="0"/>
    <d v="2025-10-29T00:00:00"/>
    <n v="5"/>
    <n v="2"/>
    <n v="4"/>
    <x v="3"/>
  </r>
  <r>
    <x v="234"/>
    <x v="3"/>
    <x v="2"/>
    <x v="21"/>
    <x v="18"/>
    <d v="2025-10-27T00:00:00"/>
    <d v="2025-11-02T00:00:00"/>
    <x v="0"/>
    <x v="0"/>
    <d v="2025-11-21T00:00:00"/>
    <n v="5"/>
    <n v="4"/>
    <n v="6"/>
    <x v="8"/>
  </r>
  <r>
    <x v="235"/>
    <x v="1"/>
    <x v="2"/>
    <x v="25"/>
    <x v="6"/>
    <d v="2025-10-08T00:00:00"/>
    <d v="2025-10-12T00:00:00"/>
    <x v="0"/>
    <x v="0"/>
    <d v="2025-11-11T00:00:00"/>
    <n v="2"/>
    <n v="3"/>
    <n v="4"/>
    <x v="11"/>
  </r>
  <r>
    <x v="236"/>
    <x v="1"/>
    <x v="2"/>
    <x v="14"/>
    <x v="27"/>
    <d v="2025-10-11T00:00:00"/>
    <d v="2025-10-17T00:00:00"/>
    <x v="0"/>
    <x v="0"/>
    <d v="2025-11-15T00:00:00"/>
    <n v="3"/>
    <n v="2"/>
    <n v="6"/>
    <x v="11"/>
  </r>
  <r>
    <x v="237"/>
    <x v="1"/>
    <x v="0"/>
    <x v="2"/>
    <x v="26"/>
    <d v="2025-10-05T00:00:00"/>
    <d v="2025-10-12T00:00:00"/>
    <x v="0"/>
    <x v="0"/>
    <d v="2025-11-06T00:00:00"/>
    <n v="3"/>
    <n v="1"/>
    <n v="7"/>
    <x v="6"/>
  </r>
  <r>
    <x v="238"/>
    <x v="3"/>
    <x v="0"/>
    <x v="4"/>
    <x v="24"/>
    <d v="2025-10-19T00:00:00"/>
    <d v="2025-10-21T00:00:00"/>
    <x v="0"/>
    <x v="0"/>
    <d v="2025-11-06T00:00:00"/>
    <n v="2"/>
    <n v="3"/>
    <n v="2"/>
    <x v="10"/>
  </r>
  <r>
    <x v="239"/>
    <x v="2"/>
    <x v="2"/>
    <x v="11"/>
    <x v="7"/>
    <d v="2025-10-21T00:00:00"/>
    <d v="2025-10-24T00:00:00"/>
    <x v="1"/>
    <x v="4"/>
    <m/>
    <n v="2"/>
    <n v="4"/>
    <n v="3"/>
    <x v="2"/>
  </r>
  <r>
    <x v="240"/>
    <x v="1"/>
    <x v="0"/>
    <x v="12"/>
    <x v="9"/>
    <d v="2025-10-26T00:00:00"/>
    <d v="2025-10-31T00:00:00"/>
    <x v="0"/>
    <x v="0"/>
    <d v="2025-11-13T00:00:00"/>
    <n v="1"/>
    <n v="2"/>
    <n v="5"/>
    <x v="3"/>
  </r>
  <r>
    <x v="241"/>
    <x v="3"/>
    <x v="2"/>
    <x v="18"/>
    <x v="31"/>
    <d v="2025-10-26T00:00:00"/>
    <d v="2025-10-28T00:00:00"/>
    <x v="0"/>
    <x v="0"/>
    <d v="2025-11-07T00:00:00"/>
    <n v="2"/>
    <n v="4"/>
    <n v="2"/>
    <x v="10"/>
  </r>
  <r>
    <x v="242"/>
    <x v="1"/>
    <x v="1"/>
    <x v="6"/>
    <x v="2"/>
    <m/>
    <m/>
    <x v="1"/>
    <x v="1"/>
    <m/>
    <m/>
    <m/>
    <m/>
    <x v="2"/>
  </r>
  <r>
    <x v="243"/>
    <x v="0"/>
    <x v="1"/>
    <x v="29"/>
    <x v="2"/>
    <m/>
    <m/>
    <x v="1"/>
    <x v="4"/>
    <m/>
    <m/>
    <m/>
    <m/>
    <x v="2"/>
  </r>
  <r>
    <x v="244"/>
    <x v="1"/>
    <x v="2"/>
    <x v="30"/>
    <x v="6"/>
    <d v="2025-10-08T00:00:00"/>
    <d v="2025-10-12T00:00:00"/>
    <x v="0"/>
    <x v="0"/>
    <d v="2025-10-28T00:00:00"/>
    <n v="3"/>
    <n v="3"/>
    <n v="4"/>
    <x v="5"/>
  </r>
  <r>
    <x v="245"/>
    <x v="1"/>
    <x v="0"/>
    <x v="24"/>
    <x v="21"/>
    <d v="2025-10-13T00:00:00"/>
    <d v="2025-10-20T00:00:00"/>
    <x v="1"/>
    <x v="3"/>
    <m/>
    <n v="2"/>
    <n v="3"/>
    <n v="7"/>
    <x v="2"/>
  </r>
  <r>
    <x v="246"/>
    <x v="2"/>
    <x v="2"/>
    <x v="29"/>
    <x v="20"/>
    <d v="2025-10-15T00:00:00"/>
    <d v="2025-10-18T00:00:00"/>
    <x v="0"/>
    <x v="0"/>
    <d v="2025-11-02T00:00:00"/>
    <n v="2"/>
    <n v="3"/>
    <n v="3"/>
    <x v="5"/>
  </r>
  <r>
    <x v="247"/>
    <x v="3"/>
    <x v="0"/>
    <x v="12"/>
    <x v="28"/>
    <d v="2025-11-02T00:00:00"/>
    <d v="2025-11-09T00:00:00"/>
    <x v="0"/>
    <x v="0"/>
    <d v="2025-12-09T00:00:00"/>
    <n v="5"/>
    <n v="5"/>
    <n v="7"/>
    <x v="8"/>
  </r>
  <r>
    <x v="248"/>
    <x v="2"/>
    <x v="0"/>
    <x v="29"/>
    <x v="20"/>
    <d v="2025-10-17T00:00:00"/>
    <d v="2025-10-20T00:00:00"/>
    <x v="0"/>
    <x v="0"/>
    <d v="2025-11-08T00:00:00"/>
    <n v="2"/>
    <n v="5"/>
    <n v="3"/>
    <x v="11"/>
  </r>
  <r>
    <x v="249"/>
    <x v="2"/>
    <x v="2"/>
    <x v="12"/>
    <x v="9"/>
    <d v="2025-10-25T00:00:00"/>
    <d v="2025-10-28T00:00:00"/>
    <x v="0"/>
    <x v="0"/>
    <d v="2025-11-09T00:00:00"/>
    <n v="1"/>
    <n v="1"/>
    <n v="3"/>
    <x v="9"/>
  </r>
  <r>
    <x v="250"/>
    <x v="2"/>
    <x v="0"/>
    <x v="3"/>
    <x v="11"/>
    <d v="2025-11-02T00:00:00"/>
    <d v="2025-11-05T00:00:00"/>
    <x v="0"/>
    <x v="0"/>
    <d v="2025-11-30T00:00:00"/>
    <n v="2"/>
    <n v="3"/>
    <n v="3"/>
    <x v="0"/>
  </r>
  <r>
    <x v="251"/>
    <x v="2"/>
    <x v="2"/>
    <x v="11"/>
    <x v="22"/>
    <d v="2025-10-22T00:00:00"/>
    <d v="2025-10-29T00:00:00"/>
    <x v="0"/>
    <x v="0"/>
    <d v="2025-11-11T00:00:00"/>
    <n v="4"/>
    <n v="3"/>
    <n v="7"/>
    <x v="5"/>
  </r>
  <r>
    <x v="252"/>
    <x v="2"/>
    <x v="2"/>
    <x v="25"/>
    <x v="15"/>
    <d v="2025-10-09T00:00:00"/>
    <d v="2025-10-13T00:00:00"/>
    <x v="0"/>
    <x v="0"/>
    <d v="2025-11-01T00:00:00"/>
    <n v="4"/>
    <n v="2"/>
    <n v="4"/>
    <x v="4"/>
  </r>
  <r>
    <x v="253"/>
    <x v="1"/>
    <x v="0"/>
    <x v="26"/>
    <x v="12"/>
    <d v="2025-10-28T00:00:00"/>
    <d v="2025-10-31T00:00:00"/>
    <x v="0"/>
    <x v="0"/>
    <d v="2025-11-22T00:00:00"/>
    <n v="5"/>
    <n v="1"/>
    <n v="3"/>
    <x v="8"/>
  </r>
  <r>
    <x v="254"/>
    <x v="2"/>
    <x v="0"/>
    <x v="24"/>
    <x v="19"/>
    <d v="2025-10-14T00:00:00"/>
    <d v="2025-10-21T00:00:00"/>
    <x v="0"/>
    <x v="0"/>
    <d v="2025-11-15T00:00:00"/>
    <n v="5"/>
    <n v="1"/>
    <n v="7"/>
    <x v="7"/>
  </r>
  <r>
    <x v="255"/>
    <x v="2"/>
    <x v="0"/>
    <x v="20"/>
    <x v="35"/>
    <d v="2025-11-07T00:00:00"/>
    <d v="2025-11-12T00:00:00"/>
    <x v="1"/>
    <x v="2"/>
    <m/>
    <n v="4"/>
    <n v="4"/>
    <n v="5"/>
    <x v="2"/>
  </r>
  <r>
    <x v="256"/>
    <x v="3"/>
    <x v="0"/>
    <x v="17"/>
    <x v="1"/>
    <d v="2025-10-17T00:00:00"/>
    <d v="2025-10-22T00:00:00"/>
    <x v="0"/>
    <x v="0"/>
    <d v="2025-11-16T00:00:00"/>
    <n v="5"/>
    <n v="3"/>
    <n v="5"/>
    <x v="9"/>
  </r>
  <r>
    <x v="257"/>
    <x v="0"/>
    <x v="1"/>
    <x v="19"/>
    <x v="2"/>
    <m/>
    <m/>
    <x v="1"/>
    <x v="4"/>
    <m/>
    <m/>
    <m/>
    <m/>
    <x v="2"/>
  </r>
  <r>
    <x v="258"/>
    <x v="1"/>
    <x v="2"/>
    <x v="19"/>
    <x v="4"/>
    <d v="2025-11-02T00:00:00"/>
    <d v="2025-11-05T00:00:00"/>
    <x v="1"/>
    <x v="4"/>
    <m/>
    <n v="5"/>
    <n v="2"/>
    <n v="3"/>
    <x v="2"/>
  </r>
  <r>
    <x v="259"/>
    <x v="1"/>
    <x v="0"/>
    <x v="0"/>
    <x v="9"/>
    <d v="2025-10-28T00:00:00"/>
    <d v="2025-11-03T00:00:00"/>
    <x v="0"/>
    <x v="0"/>
    <d v="2025-11-21T00:00:00"/>
    <n v="3"/>
    <n v="4"/>
    <n v="6"/>
    <x v="8"/>
  </r>
  <r>
    <x v="260"/>
    <x v="1"/>
    <x v="0"/>
    <x v="23"/>
    <x v="31"/>
    <d v="2025-10-27T00:00:00"/>
    <d v="2025-11-03T00:00:00"/>
    <x v="0"/>
    <x v="0"/>
    <d v="2025-11-15T00:00:00"/>
    <n v="3"/>
    <n v="5"/>
    <n v="7"/>
    <x v="0"/>
  </r>
  <r>
    <x v="261"/>
    <x v="2"/>
    <x v="0"/>
    <x v="26"/>
    <x v="9"/>
    <d v="2025-10-27T00:00:00"/>
    <d v="2025-10-31T00:00:00"/>
    <x v="0"/>
    <x v="0"/>
    <d v="2025-11-30T00:00:00"/>
    <n v="2"/>
    <n v="3"/>
    <n v="4"/>
    <x v="3"/>
  </r>
  <r>
    <x v="262"/>
    <x v="2"/>
    <x v="1"/>
    <x v="19"/>
    <x v="2"/>
    <m/>
    <m/>
    <x v="1"/>
    <x v="1"/>
    <m/>
    <m/>
    <m/>
    <m/>
    <x v="2"/>
  </r>
  <r>
    <x v="263"/>
    <x v="2"/>
    <x v="0"/>
    <x v="20"/>
    <x v="35"/>
    <d v="2025-11-04T00:00:00"/>
    <d v="2025-11-11T00:00:00"/>
    <x v="0"/>
    <x v="0"/>
    <d v="2025-12-08T00:00:00"/>
    <n v="4"/>
    <n v="1"/>
    <n v="7"/>
    <x v="7"/>
  </r>
  <r>
    <x v="264"/>
    <x v="3"/>
    <x v="0"/>
    <x v="28"/>
    <x v="30"/>
    <d v="2025-10-11T00:00:00"/>
    <d v="2025-10-16T00:00:00"/>
    <x v="0"/>
    <x v="0"/>
    <d v="2025-11-07T00:00:00"/>
    <n v="1"/>
    <n v="3"/>
    <n v="5"/>
    <x v="11"/>
  </r>
  <r>
    <x v="265"/>
    <x v="0"/>
    <x v="0"/>
    <x v="4"/>
    <x v="3"/>
    <d v="2025-10-21T00:00:00"/>
    <d v="2025-10-26T00:00:00"/>
    <x v="0"/>
    <x v="0"/>
    <d v="2025-11-10T00:00:00"/>
    <n v="4"/>
    <n v="3"/>
    <n v="5"/>
    <x v="7"/>
  </r>
  <r>
    <x v="266"/>
    <x v="2"/>
    <x v="1"/>
    <x v="7"/>
    <x v="2"/>
    <m/>
    <m/>
    <x v="1"/>
    <x v="3"/>
    <m/>
    <m/>
    <m/>
    <m/>
    <x v="2"/>
  </r>
  <r>
    <x v="267"/>
    <x v="0"/>
    <x v="1"/>
    <x v="21"/>
    <x v="2"/>
    <m/>
    <m/>
    <x v="1"/>
    <x v="2"/>
    <m/>
    <m/>
    <m/>
    <m/>
    <x v="2"/>
  </r>
  <r>
    <x v="268"/>
    <x v="3"/>
    <x v="0"/>
    <x v="24"/>
    <x v="20"/>
    <d v="2025-10-17T00:00:00"/>
    <d v="2025-10-22T00:00:00"/>
    <x v="0"/>
    <x v="0"/>
    <d v="2025-11-12T00:00:00"/>
    <n v="4"/>
    <n v="5"/>
    <n v="5"/>
    <x v="5"/>
  </r>
  <r>
    <x v="269"/>
    <x v="1"/>
    <x v="0"/>
    <x v="0"/>
    <x v="9"/>
    <d v="2025-10-26T00:00:00"/>
    <d v="2025-10-28T00:00:00"/>
    <x v="0"/>
    <x v="0"/>
    <d v="2025-11-19T00:00:00"/>
    <n v="3"/>
    <n v="2"/>
    <n v="2"/>
    <x v="10"/>
  </r>
  <r>
    <x v="270"/>
    <x v="2"/>
    <x v="2"/>
    <x v="13"/>
    <x v="30"/>
    <d v="2025-10-10T00:00:00"/>
    <d v="2025-10-17T00:00:00"/>
    <x v="0"/>
    <x v="0"/>
    <d v="2025-11-07T00:00:00"/>
    <n v="3"/>
    <n v="2"/>
    <n v="7"/>
    <x v="7"/>
  </r>
  <r>
    <x v="271"/>
    <x v="0"/>
    <x v="2"/>
    <x v="20"/>
    <x v="8"/>
    <d v="2025-11-06T00:00:00"/>
    <d v="2025-11-08T00:00:00"/>
    <x v="0"/>
    <x v="0"/>
    <d v="2025-11-23T00:00:00"/>
    <n v="5"/>
    <n v="2"/>
    <n v="2"/>
    <x v="5"/>
  </r>
  <r>
    <x v="272"/>
    <x v="0"/>
    <x v="0"/>
    <x v="17"/>
    <x v="21"/>
    <d v="2025-10-14T00:00:00"/>
    <d v="2025-10-19T00:00:00"/>
    <x v="0"/>
    <x v="0"/>
    <d v="2025-11-12T00:00:00"/>
    <n v="1"/>
    <n v="4"/>
    <n v="5"/>
    <x v="3"/>
  </r>
  <r>
    <x v="273"/>
    <x v="2"/>
    <x v="2"/>
    <x v="5"/>
    <x v="11"/>
    <d v="2025-11-01T00:00:00"/>
    <d v="2025-11-07T00:00:00"/>
    <x v="0"/>
    <x v="0"/>
    <d v="2025-11-18T00:00:00"/>
    <n v="3"/>
    <n v="2"/>
    <n v="6"/>
    <x v="0"/>
  </r>
  <r>
    <x v="274"/>
    <x v="1"/>
    <x v="0"/>
    <x v="13"/>
    <x v="21"/>
    <d v="2025-10-14T00:00:00"/>
    <d v="2025-10-21T00:00:00"/>
    <x v="0"/>
    <x v="0"/>
    <d v="2025-11-08T00:00:00"/>
    <n v="5"/>
    <n v="4"/>
    <n v="7"/>
    <x v="9"/>
  </r>
  <r>
    <x v="275"/>
    <x v="1"/>
    <x v="2"/>
    <x v="25"/>
    <x v="26"/>
    <d v="2025-10-09T00:00:00"/>
    <d v="2025-10-13T00:00:00"/>
    <x v="0"/>
    <x v="0"/>
    <d v="2025-11-06T00:00:00"/>
    <n v="1"/>
    <n v="5"/>
    <n v="4"/>
    <x v="4"/>
  </r>
  <r>
    <x v="276"/>
    <x v="1"/>
    <x v="0"/>
    <x v="30"/>
    <x v="6"/>
    <d v="2025-10-08T00:00:00"/>
    <d v="2025-10-15T00:00:00"/>
    <x v="0"/>
    <x v="0"/>
    <d v="2025-11-08T00:00:00"/>
    <n v="3"/>
    <n v="3"/>
    <n v="7"/>
    <x v="1"/>
  </r>
  <r>
    <x v="277"/>
    <x v="3"/>
    <x v="0"/>
    <x v="14"/>
    <x v="21"/>
    <d v="2025-10-14T00:00:00"/>
    <d v="2025-10-18T00:00:00"/>
    <x v="0"/>
    <x v="0"/>
    <d v="2025-11-05T00:00:00"/>
    <n v="4"/>
    <n v="4"/>
    <n v="4"/>
    <x v="10"/>
  </r>
  <r>
    <x v="278"/>
    <x v="0"/>
    <x v="1"/>
    <x v="19"/>
    <x v="2"/>
    <m/>
    <m/>
    <x v="1"/>
    <x v="1"/>
    <m/>
    <m/>
    <m/>
    <m/>
    <x v="2"/>
  </r>
  <r>
    <x v="279"/>
    <x v="0"/>
    <x v="2"/>
    <x v="29"/>
    <x v="1"/>
    <d v="2025-10-19T00:00:00"/>
    <d v="2025-10-24T00:00:00"/>
    <x v="1"/>
    <x v="1"/>
    <m/>
    <n v="4"/>
    <n v="5"/>
    <n v="5"/>
    <x v="2"/>
  </r>
  <r>
    <x v="280"/>
    <x v="0"/>
    <x v="0"/>
    <x v="18"/>
    <x v="16"/>
    <d v="2025-10-25T00:00:00"/>
    <d v="2025-10-30T00:00:00"/>
    <x v="0"/>
    <x v="0"/>
    <d v="2025-11-16T00:00:00"/>
    <n v="1"/>
    <n v="4"/>
    <n v="5"/>
    <x v="1"/>
  </r>
  <r>
    <x v="281"/>
    <x v="3"/>
    <x v="1"/>
    <x v="15"/>
    <x v="2"/>
    <m/>
    <m/>
    <x v="1"/>
    <x v="3"/>
    <m/>
    <m/>
    <m/>
    <m/>
    <x v="2"/>
  </r>
  <r>
    <x v="282"/>
    <x v="0"/>
    <x v="2"/>
    <x v="5"/>
    <x v="28"/>
    <d v="2025-11-02T00:00:00"/>
    <d v="2025-11-06T00:00:00"/>
    <x v="1"/>
    <x v="2"/>
    <m/>
    <n v="1"/>
    <n v="5"/>
    <n v="4"/>
    <x v="2"/>
  </r>
  <r>
    <x v="283"/>
    <x v="3"/>
    <x v="1"/>
    <x v="23"/>
    <x v="2"/>
    <m/>
    <m/>
    <x v="1"/>
    <x v="3"/>
    <m/>
    <m/>
    <m/>
    <m/>
    <x v="2"/>
  </r>
  <r>
    <x v="284"/>
    <x v="1"/>
    <x v="0"/>
    <x v="20"/>
    <x v="34"/>
    <d v="2025-11-04T00:00:00"/>
    <d v="2025-11-10T00:00:00"/>
    <x v="0"/>
    <x v="0"/>
    <d v="2025-11-28T00:00:00"/>
    <n v="3"/>
    <n v="2"/>
    <n v="6"/>
    <x v="8"/>
  </r>
  <r>
    <x v="285"/>
    <x v="2"/>
    <x v="0"/>
    <x v="29"/>
    <x v="19"/>
    <d v="2025-10-15T00:00:00"/>
    <d v="2025-10-17T00:00:00"/>
    <x v="0"/>
    <x v="0"/>
    <d v="2025-11-14T00:00:00"/>
    <n v="3"/>
    <n v="2"/>
    <n v="2"/>
    <x v="3"/>
  </r>
  <r>
    <x v="286"/>
    <x v="0"/>
    <x v="1"/>
    <x v="11"/>
    <x v="2"/>
    <m/>
    <m/>
    <x v="1"/>
    <x v="2"/>
    <m/>
    <m/>
    <m/>
    <m/>
    <x v="2"/>
  </r>
  <r>
    <x v="287"/>
    <x v="0"/>
    <x v="2"/>
    <x v="7"/>
    <x v="6"/>
    <d v="2025-10-10T00:00:00"/>
    <d v="2025-10-17T00:00:00"/>
    <x v="0"/>
    <x v="0"/>
    <d v="2025-10-28T00:00:00"/>
    <n v="1"/>
    <n v="5"/>
    <n v="7"/>
    <x v="0"/>
  </r>
  <r>
    <x v="288"/>
    <x v="1"/>
    <x v="0"/>
    <x v="11"/>
    <x v="24"/>
    <d v="2025-10-17T00:00:00"/>
    <d v="2025-10-19T00:00:00"/>
    <x v="1"/>
    <x v="3"/>
    <m/>
    <n v="1"/>
    <n v="1"/>
    <n v="2"/>
    <x v="2"/>
  </r>
  <r>
    <x v="289"/>
    <x v="2"/>
    <x v="1"/>
    <x v="12"/>
    <x v="2"/>
    <m/>
    <m/>
    <x v="1"/>
    <x v="1"/>
    <m/>
    <m/>
    <m/>
    <m/>
    <x v="2"/>
  </r>
  <r>
    <x v="290"/>
    <x v="3"/>
    <x v="2"/>
    <x v="29"/>
    <x v="14"/>
    <d v="2025-10-20T00:00:00"/>
    <d v="2025-10-27T00:00:00"/>
    <x v="0"/>
    <x v="0"/>
    <d v="2025-11-10T00:00:00"/>
    <n v="5"/>
    <n v="5"/>
    <n v="7"/>
    <x v="8"/>
  </r>
  <r>
    <x v="291"/>
    <x v="2"/>
    <x v="0"/>
    <x v="12"/>
    <x v="28"/>
    <d v="2025-11-01T00:00:00"/>
    <d v="2025-11-06T00:00:00"/>
    <x v="0"/>
    <x v="0"/>
    <d v="2025-11-19T00:00:00"/>
    <n v="5"/>
    <n v="4"/>
    <n v="5"/>
    <x v="10"/>
  </r>
  <r>
    <x v="292"/>
    <x v="1"/>
    <x v="1"/>
    <x v="27"/>
    <x v="2"/>
    <m/>
    <m/>
    <x v="1"/>
    <x v="1"/>
    <m/>
    <m/>
    <m/>
    <m/>
    <x v="2"/>
  </r>
  <r>
    <x v="293"/>
    <x v="1"/>
    <x v="2"/>
    <x v="8"/>
    <x v="32"/>
    <d v="2025-11-10T00:00:00"/>
    <d v="2025-11-17T00:00:00"/>
    <x v="0"/>
    <x v="0"/>
    <d v="2025-11-29T00:00:00"/>
    <n v="5"/>
    <n v="5"/>
    <n v="7"/>
    <x v="5"/>
  </r>
  <r>
    <x v="294"/>
    <x v="2"/>
    <x v="1"/>
    <x v="17"/>
    <x v="2"/>
    <m/>
    <m/>
    <x v="1"/>
    <x v="5"/>
    <m/>
    <m/>
    <m/>
    <m/>
    <x v="2"/>
  </r>
  <r>
    <x v="295"/>
    <x v="3"/>
    <x v="0"/>
    <x v="16"/>
    <x v="16"/>
    <d v="2025-10-24T00:00:00"/>
    <d v="2025-10-31T00:00:00"/>
    <x v="1"/>
    <x v="4"/>
    <m/>
    <n v="4"/>
    <n v="3"/>
    <n v="7"/>
    <x v="2"/>
  </r>
  <r>
    <x v="296"/>
    <x v="3"/>
    <x v="0"/>
    <x v="21"/>
    <x v="31"/>
    <d v="2025-10-23T00:00:00"/>
    <d v="2025-10-30T00:00:00"/>
    <x v="0"/>
    <x v="0"/>
    <d v="2025-11-20T00:00:00"/>
    <n v="4"/>
    <n v="1"/>
    <n v="7"/>
    <x v="5"/>
  </r>
  <r>
    <x v="297"/>
    <x v="0"/>
    <x v="0"/>
    <x v="6"/>
    <x v="16"/>
    <d v="2025-10-26T00:00:00"/>
    <d v="2025-10-30T00:00:00"/>
    <x v="0"/>
    <x v="0"/>
    <d v="2025-11-26T00:00:00"/>
    <n v="5"/>
    <n v="5"/>
    <n v="4"/>
    <x v="4"/>
  </r>
  <r>
    <x v="298"/>
    <x v="3"/>
    <x v="2"/>
    <x v="11"/>
    <x v="5"/>
    <d v="2025-10-21T00:00:00"/>
    <d v="2025-10-23T00:00:00"/>
    <x v="0"/>
    <x v="0"/>
    <d v="2025-11-15T00:00:00"/>
    <n v="5"/>
    <n v="1"/>
    <n v="2"/>
    <x v="4"/>
  </r>
  <r>
    <x v="299"/>
    <x v="2"/>
    <x v="1"/>
    <x v="25"/>
    <x v="2"/>
    <m/>
    <m/>
    <x v="1"/>
    <x v="3"/>
    <m/>
    <m/>
    <m/>
    <m/>
    <x v="2"/>
  </r>
  <r>
    <x v="300"/>
    <x v="1"/>
    <x v="1"/>
    <x v="18"/>
    <x v="2"/>
    <m/>
    <m/>
    <x v="1"/>
    <x v="5"/>
    <m/>
    <m/>
    <m/>
    <m/>
    <x v="2"/>
  </r>
  <r>
    <x v="301"/>
    <x v="0"/>
    <x v="0"/>
    <x v="30"/>
    <x v="33"/>
    <d v="2025-10-04T00:00:00"/>
    <d v="2025-10-10T00:00:00"/>
    <x v="0"/>
    <x v="0"/>
    <d v="2025-11-07T00:00:00"/>
    <n v="1"/>
    <n v="1"/>
    <n v="6"/>
    <x v="1"/>
  </r>
  <r>
    <x v="302"/>
    <x v="0"/>
    <x v="0"/>
    <x v="10"/>
    <x v="34"/>
    <d v="2025-11-07T00:00:00"/>
    <d v="2025-11-12T00:00:00"/>
    <x v="0"/>
    <x v="0"/>
    <d v="2025-11-29T00:00:00"/>
    <n v="4"/>
    <n v="5"/>
    <n v="5"/>
    <x v="7"/>
  </r>
  <r>
    <x v="303"/>
    <x v="1"/>
    <x v="0"/>
    <x v="4"/>
    <x v="22"/>
    <d v="2025-10-24T00:00:00"/>
    <d v="2025-10-27T00:00:00"/>
    <x v="0"/>
    <x v="0"/>
    <d v="2025-11-23T00:00:00"/>
    <n v="5"/>
    <n v="5"/>
    <n v="3"/>
    <x v="5"/>
  </r>
  <r>
    <x v="304"/>
    <x v="3"/>
    <x v="0"/>
    <x v="15"/>
    <x v="25"/>
    <d v="2025-10-28T00:00:00"/>
    <d v="2025-11-02T00:00:00"/>
    <x v="0"/>
    <x v="0"/>
    <d v="2025-11-13T00:00:00"/>
    <n v="2"/>
    <n v="2"/>
    <n v="5"/>
    <x v="10"/>
  </r>
  <r>
    <x v="305"/>
    <x v="1"/>
    <x v="0"/>
    <x v="1"/>
    <x v="1"/>
    <d v="2025-10-19T00:00:00"/>
    <d v="2025-10-22T00:00:00"/>
    <x v="0"/>
    <x v="0"/>
    <d v="2025-11-13T00:00:00"/>
    <n v="3"/>
    <n v="5"/>
    <n v="3"/>
    <x v="10"/>
  </r>
  <r>
    <x v="306"/>
    <x v="3"/>
    <x v="0"/>
    <x v="18"/>
    <x v="0"/>
    <d v="2025-10-30T00:00:00"/>
    <d v="2025-11-04T00:00:00"/>
    <x v="0"/>
    <x v="0"/>
    <d v="2025-11-30T00:00:00"/>
    <n v="5"/>
    <n v="5"/>
    <n v="5"/>
    <x v="1"/>
  </r>
  <r>
    <x v="307"/>
    <x v="1"/>
    <x v="0"/>
    <x v="17"/>
    <x v="19"/>
    <d v="2025-10-15T00:00:00"/>
    <d v="2025-10-19T00:00:00"/>
    <x v="0"/>
    <x v="0"/>
    <d v="2025-11-11T00:00:00"/>
    <n v="4"/>
    <n v="2"/>
    <n v="4"/>
    <x v="3"/>
  </r>
  <r>
    <x v="308"/>
    <x v="2"/>
    <x v="0"/>
    <x v="2"/>
    <x v="13"/>
    <d v="2025-10-08T00:00:00"/>
    <d v="2025-10-12T00:00:00"/>
    <x v="0"/>
    <x v="0"/>
    <d v="2025-11-08T00:00:00"/>
    <n v="5"/>
    <n v="2"/>
    <n v="4"/>
    <x v="5"/>
  </r>
  <r>
    <x v="309"/>
    <x v="3"/>
    <x v="0"/>
    <x v="25"/>
    <x v="6"/>
    <d v="2025-10-08T00:00:00"/>
    <d v="2025-10-12T00:00:00"/>
    <x v="0"/>
    <x v="0"/>
    <d v="2025-11-06T00:00:00"/>
    <n v="2"/>
    <n v="3"/>
    <n v="4"/>
    <x v="7"/>
  </r>
  <r>
    <x v="310"/>
    <x v="2"/>
    <x v="2"/>
    <x v="24"/>
    <x v="27"/>
    <d v="2025-10-14T00:00:00"/>
    <d v="2025-10-18T00:00:00"/>
    <x v="0"/>
    <x v="0"/>
    <d v="2025-11-15T00:00:00"/>
    <n v="1"/>
    <n v="5"/>
    <n v="4"/>
    <x v="9"/>
  </r>
  <r>
    <x v="311"/>
    <x v="0"/>
    <x v="2"/>
    <x v="8"/>
    <x v="8"/>
    <d v="2025-11-08T00:00:00"/>
    <d v="2025-11-14T00:00:00"/>
    <x v="0"/>
    <x v="0"/>
    <d v="2025-12-01T00:00:00"/>
    <n v="4"/>
    <n v="4"/>
    <n v="6"/>
    <x v="5"/>
  </r>
  <r>
    <x v="312"/>
    <x v="1"/>
    <x v="0"/>
    <x v="26"/>
    <x v="18"/>
    <d v="2025-10-24T00:00:00"/>
    <d v="2025-10-30T00:00:00"/>
    <x v="0"/>
    <x v="0"/>
    <d v="2025-11-24T00:00:00"/>
    <n v="1"/>
    <n v="1"/>
    <n v="6"/>
    <x v="5"/>
  </r>
  <r>
    <x v="313"/>
    <x v="0"/>
    <x v="0"/>
    <x v="5"/>
    <x v="11"/>
    <d v="2025-11-01T00:00:00"/>
    <d v="2025-11-04T00:00:00"/>
    <x v="0"/>
    <x v="0"/>
    <d v="2025-11-23T00:00:00"/>
    <n v="3"/>
    <n v="2"/>
    <n v="3"/>
    <x v="5"/>
  </r>
  <r>
    <x v="314"/>
    <x v="0"/>
    <x v="0"/>
    <x v="3"/>
    <x v="23"/>
    <d v="2025-11-03T00:00:00"/>
    <d v="2025-11-09T00:00:00"/>
    <x v="0"/>
    <x v="0"/>
    <d v="2025-11-21T00:00:00"/>
    <n v="1"/>
    <n v="5"/>
    <n v="6"/>
    <x v="8"/>
  </r>
  <r>
    <x v="315"/>
    <x v="0"/>
    <x v="0"/>
    <x v="23"/>
    <x v="9"/>
    <d v="2025-10-28T00:00:00"/>
    <d v="2025-11-02T00:00:00"/>
    <x v="0"/>
    <x v="0"/>
    <d v="2025-11-24T00:00:00"/>
    <n v="5"/>
    <n v="4"/>
    <n v="5"/>
    <x v="7"/>
  </r>
  <r>
    <x v="316"/>
    <x v="0"/>
    <x v="0"/>
    <x v="23"/>
    <x v="16"/>
    <d v="2025-10-22T00:00:00"/>
    <d v="2025-10-26T00:00:00"/>
    <x v="0"/>
    <x v="0"/>
    <d v="2025-11-06T00:00:00"/>
    <n v="2"/>
    <n v="1"/>
    <n v="4"/>
    <x v="3"/>
  </r>
  <r>
    <x v="317"/>
    <x v="1"/>
    <x v="0"/>
    <x v="8"/>
    <x v="10"/>
    <d v="2025-11-06T00:00:00"/>
    <d v="2025-11-13T00:00:00"/>
    <x v="1"/>
    <x v="4"/>
    <m/>
    <n v="1"/>
    <n v="5"/>
    <n v="7"/>
    <x v="2"/>
  </r>
  <r>
    <x v="318"/>
    <x v="0"/>
    <x v="0"/>
    <x v="2"/>
    <x v="33"/>
    <d v="2025-10-07T00:00:00"/>
    <d v="2025-10-09T00:00:00"/>
    <x v="0"/>
    <x v="0"/>
    <d v="2025-11-04T00:00:00"/>
    <n v="2"/>
    <n v="4"/>
    <n v="2"/>
    <x v="5"/>
  </r>
  <r>
    <x v="319"/>
    <x v="1"/>
    <x v="0"/>
    <x v="22"/>
    <x v="23"/>
    <d v="2025-10-30T00:00:00"/>
    <d v="2025-11-01T00:00:00"/>
    <x v="1"/>
    <x v="3"/>
    <m/>
    <n v="4"/>
    <n v="1"/>
    <n v="2"/>
    <x v="2"/>
  </r>
  <r>
    <x v="320"/>
    <x v="1"/>
    <x v="0"/>
    <x v="26"/>
    <x v="25"/>
    <d v="2025-10-30T00:00:00"/>
    <d v="2025-11-01T00:00:00"/>
    <x v="0"/>
    <x v="0"/>
    <d v="2025-11-29T00:00:00"/>
    <n v="4"/>
    <n v="4"/>
    <n v="2"/>
    <x v="8"/>
  </r>
  <r>
    <x v="321"/>
    <x v="2"/>
    <x v="1"/>
    <x v="5"/>
    <x v="2"/>
    <m/>
    <m/>
    <x v="1"/>
    <x v="2"/>
    <m/>
    <m/>
    <m/>
    <m/>
    <x v="2"/>
  </r>
  <r>
    <x v="322"/>
    <x v="3"/>
    <x v="0"/>
    <x v="17"/>
    <x v="1"/>
    <d v="2025-10-16T00:00:00"/>
    <d v="2025-10-23T00:00:00"/>
    <x v="1"/>
    <x v="4"/>
    <m/>
    <n v="5"/>
    <n v="2"/>
    <n v="7"/>
    <x v="2"/>
  </r>
  <r>
    <x v="323"/>
    <x v="3"/>
    <x v="2"/>
    <x v="23"/>
    <x v="9"/>
    <d v="2025-10-29T00:00:00"/>
    <d v="2025-11-03T00:00:00"/>
    <x v="0"/>
    <x v="0"/>
    <d v="2025-11-29T00:00:00"/>
    <n v="5"/>
    <n v="5"/>
    <n v="5"/>
    <x v="0"/>
  </r>
  <r>
    <x v="324"/>
    <x v="1"/>
    <x v="2"/>
    <x v="30"/>
    <x v="15"/>
    <d v="2025-10-11T00:00:00"/>
    <d v="2025-10-13T00:00:00"/>
    <x v="1"/>
    <x v="1"/>
    <m/>
    <n v="5"/>
    <n v="4"/>
    <n v="2"/>
    <x v="2"/>
  </r>
  <r>
    <x v="325"/>
    <x v="2"/>
    <x v="2"/>
    <x v="22"/>
    <x v="12"/>
    <d v="2025-10-31T00:00:00"/>
    <d v="2025-11-02T00:00:00"/>
    <x v="0"/>
    <x v="0"/>
    <d v="2025-11-30T00:00:00"/>
    <n v="2"/>
    <n v="4"/>
    <n v="2"/>
    <x v="4"/>
  </r>
  <r>
    <x v="326"/>
    <x v="1"/>
    <x v="0"/>
    <x v="22"/>
    <x v="28"/>
    <d v="2025-11-02T00:00:00"/>
    <d v="2025-11-05T00:00:00"/>
    <x v="0"/>
    <x v="0"/>
    <d v="2025-12-04T00:00:00"/>
    <n v="3"/>
    <n v="5"/>
    <n v="3"/>
    <x v="5"/>
  </r>
  <r>
    <x v="327"/>
    <x v="1"/>
    <x v="0"/>
    <x v="14"/>
    <x v="27"/>
    <d v="2025-10-10T00:00:00"/>
    <d v="2025-10-15T00:00:00"/>
    <x v="0"/>
    <x v="0"/>
    <d v="2025-10-29T00:00:00"/>
    <n v="3"/>
    <n v="1"/>
    <n v="5"/>
    <x v="11"/>
  </r>
  <r>
    <x v="328"/>
    <x v="1"/>
    <x v="0"/>
    <x v="6"/>
    <x v="22"/>
    <d v="2025-10-24T00:00:00"/>
    <d v="2025-10-29T00:00:00"/>
    <x v="0"/>
    <x v="0"/>
    <d v="2025-11-11T00:00:00"/>
    <n v="3"/>
    <n v="5"/>
    <n v="5"/>
    <x v="9"/>
  </r>
  <r>
    <x v="329"/>
    <x v="2"/>
    <x v="0"/>
    <x v="16"/>
    <x v="16"/>
    <d v="2025-10-25T00:00:00"/>
    <d v="2025-10-27T00:00:00"/>
    <x v="0"/>
    <x v="0"/>
    <d v="2025-11-20T00:00:00"/>
    <n v="4"/>
    <n v="4"/>
    <n v="2"/>
    <x v="0"/>
  </r>
  <r>
    <x v="330"/>
    <x v="3"/>
    <x v="2"/>
    <x v="0"/>
    <x v="0"/>
    <d v="2025-10-28T00:00:00"/>
    <d v="2025-11-02T00:00:00"/>
    <x v="0"/>
    <x v="0"/>
    <d v="2025-11-17T00:00:00"/>
    <n v="4"/>
    <n v="3"/>
    <n v="5"/>
    <x v="10"/>
  </r>
  <r>
    <x v="331"/>
    <x v="2"/>
    <x v="0"/>
    <x v="11"/>
    <x v="3"/>
    <d v="2025-10-19T00:00:00"/>
    <d v="2025-10-22T00:00:00"/>
    <x v="0"/>
    <x v="0"/>
    <d v="2025-11-06T00:00:00"/>
    <n v="3"/>
    <n v="1"/>
    <n v="3"/>
    <x v="6"/>
  </r>
  <r>
    <x v="332"/>
    <x v="0"/>
    <x v="2"/>
    <x v="20"/>
    <x v="8"/>
    <d v="2025-11-08T00:00:00"/>
    <d v="2025-11-15T00:00:00"/>
    <x v="0"/>
    <x v="0"/>
    <d v="2025-12-01T00:00:00"/>
    <n v="5"/>
    <n v="4"/>
    <n v="7"/>
    <x v="0"/>
  </r>
  <r>
    <x v="333"/>
    <x v="2"/>
    <x v="0"/>
    <x v="17"/>
    <x v="21"/>
    <d v="2025-10-13T00:00:00"/>
    <d v="2025-10-16T00:00:00"/>
    <x v="0"/>
    <x v="0"/>
    <d v="2025-11-01T00:00:00"/>
    <n v="1"/>
    <n v="3"/>
    <n v="3"/>
    <x v="0"/>
  </r>
  <r>
    <x v="334"/>
    <x v="2"/>
    <x v="2"/>
    <x v="14"/>
    <x v="27"/>
    <d v="2025-10-10T00:00:00"/>
    <d v="2025-10-17T00:00:00"/>
    <x v="0"/>
    <x v="0"/>
    <d v="2025-10-31T00:00:00"/>
    <n v="3"/>
    <n v="1"/>
    <n v="7"/>
    <x v="10"/>
  </r>
  <r>
    <x v="335"/>
    <x v="2"/>
    <x v="1"/>
    <x v="23"/>
    <x v="2"/>
    <m/>
    <m/>
    <x v="1"/>
    <x v="5"/>
    <m/>
    <m/>
    <m/>
    <m/>
    <x v="2"/>
  </r>
  <r>
    <x v="336"/>
    <x v="2"/>
    <x v="2"/>
    <x v="4"/>
    <x v="14"/>
    <d v="2025-10-17T00:00:00"/>
    <d v="2025-10-21T00:00:00"/>
    <x v="0"/>
    <x v="0"/>
    <d v="2025-11-01T00:00:00"/>
    <n v="1"/>
    <n v="2"/>
    <n v="4"/>
    <x v="11"/>
  </r>
  <r>
    <x v="337"/>
    <x v="3"/>
    <x v="1"/>
    <x v="0"/>
    <x v="2"/>
    <m/>
    <m/>
    <x v="1"/>
    <x v="4"/>
    <m/>
    <m/>
    <m/>
    <m/>
    <x v="2"/>
  </r>
  <r>
    <x v="338"/>
    <x v="0"/>
    <x v="0"/>
    <x v="5"/>
    <x v="11"/>
    <d v="2025-11-04T00:00:00"/>
    <d v="2025-11-07T00:00:00"/>
    <x v="0"/>
    <x v="0"/>
    <d v="2025-11-30T00:00:00"/>
    <n v="3"/>
    <n v="5"/>
    <n v="3"/>
    <x v="9"/>
  </r>
  <r>
    <x v="339"/>
    <x v="3"/>
    <x v="1"/>
    <x v="6"/>
    <x v="2"/>
    <m/>
    <m/>
    <x v="1"/>
    <x v="4"/>
    <m/>
    <m/>
    <m/>
    <m/>
    <x v="2"/>
  </r>
  <r>
    <x v="340"/>
    <x v="3"/>
    <x v="0"/>
    <x v="25"/>
    <x v="26"/>
    <d v="2025-10-05T00:00:00"/>
    <d v="2025-10-09T00:00:00"/>
    <x v="0"/>
    <x v="0"/>
    <d v="2025-10-21T00:00:00"/>
    <n v="1"/>
    <n v="1"/>
    <n v="4"/>
    <x v="4"/>
  </r>
  <r>
    <x v="341"/>
    <x v="2"/>
    <x v="0"/>
    <x v="6"/>
    <x v="16"/>
    <d v="2025-10-22T00:00:00"/>
    <d v="2025-10-24T00:00:00"/>
    <x v="0"/>
    <x v="0"/>
    <d v="2025-11-16T00:00:00"/>
    <n v="5"/>
    <n v="1"/>
    <n v="2"/>
    <x v="10"/>
  </r>
  <r>
    <x v="342"/>
    <x v="1"/>
    <x v="0"/>
    <x v="9"/>
    <x v="24"/>
    <d v="2025-10-20T00:00:00"/>
    <d v="2025-10-27T00:00:00"/>
    <x v="0"/>
    <x v="0"/>
    <d v="2025-11-12T00:00:00"/>
    <n v="4"/>
    <n v="4"/>
    <n v="7"/>
    <x v="8"/>
  </r>
  <r>
    <x v="343"/>
    <x v="1"/>
    <x v="0"/>
    <x v="4"/>
    <x v="7"/>
    <d v="2025-10-20T00:00:00"/>
    <d v="2025-10-24T00:00:00"/>
    <x v="0"/>
    <x v="0"/>
    <d v="2025-11-23T00:00:00"/>
    <n v="3"/>
    <n v="3"/>
    <n v="4"/>
    <x v="1"/>
  </r>
  <r>
    <x v="344"/>
    <x v="3"/>
    <x v="0"/>
    <x v="1"/>
    <x v="1"/>
    <d v="2025-10-15T00:00:00"/>
    <d v="2025-10-19T00:00:00"/>
    <x v="0"/>
    <x v="0"/>
    <d v="2025-11-02T00:00:00"/>
    <n v="3"/>
    <n v="1"/>
    <n v="4"/>
    <x v="9"/>
  </r>
  <r>
    <x v="345"/>
    <x v="3"/>
    <x v="0"/>
    <x v="1"/>
    <x v="24"/>
    <d v="2025-10-21T00:00:00"/>
    <d v="2025-10-23T00:00:00"/>
    <x v="0"/>
    <x v="0"/>
    <d v="2025-11-21T00:00:00"/>
    <n v="5"/>
    <n v="5"/>
    <n v="2"/>
    <x v="5"/>
  </r>
  <r>
    <x v="346"/>
    <x v="2"/>
    <x v="0"/>
    <x v="26"/>
    <x v="9"/>
    <d v="2025-10-25T00:00:00"/>
    <d v="2025-10-29T00:00:00"/>
    <x v="0"/>
    <x v="0"/>
    <d v="2025-11-16T00:00:00"/>
    <n v="2"/>
    <n v="1"/>
    <n v="4"/>
    <x v="8"/>
  </r>
  <r>
    <x v="347"/>
    <x v="3"/>
    <x v="2"/>
    <x v="7"/>
    <x v="15"/>
    <d v="2025-10-08T00:00:00"/>
    <d v="2025-10-15T00:00:00"/>
    <x v="0"/>
    <x v="0"/>
    <d v="2025-11-04T00:00:00"/>
    <n v="3"/>
    <n v="1"/>
    <n v="7"/>
    <x v="1"/>
  </r>
  <r>
    <x v="348"/>
    <x v="2"/>
    <x v="0"/>
    <x v="3"/>
    <x v="23"/>
    <d v="2025-11-02T00:00:00"/>
    <d v="2025-11-09T00:00:00"/>
    <x v="0"/>
    <x v="0"/>
    <d v="2025-11-21T00:00:00"/>
    <n v="1"/>
    <n v="4"/>
    <n v="7"/>
    <x v="8"/>
  </r>
  <r>
    <x v="349"/>
    <x v="1"/>
    <x v="0"/>
    <x v="14"/>
    <x v="17"/>
    <d v="2025-10-12T00:00:00"/>
    <d v="2025-10-15T00:00:00"/>
    <x v="0"/>
    <x v="0"/>
    <d v="2025-10-27T00:00:00"/>
    <n v="5"/>
    <n v="1"/>
    <n v="3"/>
    <x v="5"/>
  </r>
  <r>
    <x v="350"/>
    <x v="1"/>
    <x v="0"/>
    <x v="1"/>
    <x v="19"/>
    <d v="2025-10-16T00:00:00"/>
    <d v="2025-10-18T00:00:00"/>
    <x v="1"/>
    <x v="1"/>
    <m/>
    <n v="2"/>
    <n v="3"/>
    <n v="2"/>
    <x v="2"/>
  </r>
  <r>
    <x v="351"/>
    <x v="0"/>
    <x v="0"/>
    <x v="4"/>
    <x v="7"/>
    <d v="2025-10-21T00:00:00"/>
    <d v="2025-10-26T00:00:00"/>
    <x v="1"/>
    <x v="3"/>
    <m/>
    <n v="3"/>
    <n v="4"/>
    <n v="5"/>
    <x v="2"/>
  </r>
  <r>
    <x v="352"/>
    <x v="1"/>
    <x v="0"/>
    <x v="12"/>
    <x v="25"/>
    <d v="2025-10-28T00:00:00"/>
    <d v="2025-11-04T00:00:00"/>
    <x v="0"/>
    <x v="0"/>
    <d v="2025-11-26T00:00:00"/>
    <n v="3"/>
    <n v="2"/>
    <n v="7"/>
    <x v="7"/>
  </r>
  <r>
    <x v="353"/>
    <x v="3"/>
    <x v="1"/>
    <x v="6"/>
    <x v="2"/>
    <m/>
    <m/>
    <x v="1"/>
    <x v="2"/>
    <m/>
    <m/>
    <m/>
    <m/>
    <x v="2"/>
  </r>
  <r>
    <x v="354"/>
    <x v="1"/>
    <x v="2"/>
    <x v="29"/>
    <x v="1"/>
    <d v="2025-10-16T00:00:00"/>
    <d v="2025-10-20T00:00:00"/>
    <x v="0"/>
    <x v="0"/>
    <d v="2025-11-16T00:00:00"/>
    <n v="4"/>
    <n v="2"/>
    <n v="4"/>
    <x v="0"/>
  </r>
  <r>
    <x v="355"/>
    <x v="2"/>
    <x v="0"/>
    <x v="26"/>
    <x v="9"/>
    <d v="2025-10-28T00:00:00"/>
    <d v="2025-11-04T00:00:00"/>
    <x v="0"/>
    <x v="0"/>
    <d v="2025-11-26T00:00:00"/>
    <n v="2"/>
    <n v="4"/>
    <n v="7"/>
    <x v="9"/>
  </r>
  <r>
    <x v="356"/>
    <x v="1"/>
    <x v="0"/>
    <x v="8"/>
    <x v="32"/>
    <d v="2025-11-08T00:00:00"/>
    <d v="2025-11-15T00:00:00"/>
    <x v="0"/>
    <x v="0"/>
    <d v="2025-12-12T00:00:00"/>
    <n v="5"/>
    <n v="3"/>
    <n v="7"/>
    <x v="4"/>
  </r>
  <r>
    <x v="357"/>
    <x v="0"/>
    <x v="0"/>
    <x v="27"/>
    <x v="1"/>
    <d v="2025-10-18T00:00:00"/>
    <d v="2025-10-21T00:00:00"/>
    <x v="0"/>
    <x v="0"/>
    <d v="2025-11-10T00:00:00"/>
    <n v="1"/>
    <n v="4"/>
    <n v="3"/>
    <x v="9"/>
  </r>
  <r>
    <x v="358"/>
    <x v="1"/>
    <x v="1"/>
    <x v="5"/>
    <x v="2"/>
    <m/>
    <m/>
    <x v="1"/>
    <x v="1"/>
    <m/>
    <m/>
    <m/>
    <m/>
    <x v="2"/>
  </r>
  <r>
    <x v="359"/>
    <x v="2"/>
    <x v="2"/>
    <x v="22"/>
    <x v="28"/>
    <d v="2025-11-01T00:00:00"/>
    <d v="2025-11-06T00:00:00"/>
    <x v="0"/>
    <x v="0"/>
    <d v="2025-11-24T00:00:00"/>
    <n v="3"/>
    <n v="4"/>
    <n v="5"/>
    <x v="7"/>
  </r>
  <r>
    <x v="360"/>
    <x v="2"/>
    <x v="0"/>
    <x v="21"/>
    <x v="18"/>
    <d v="2025-10-27T00:00:00"/>
    <d v="2025-11-03T00:00:00"/>
    <x v="0"/>
    <x v="0"/>
    <d v="2025-11-29T00:00:00"/>
    <n v="5"/>
    <n v="4"/>
    <n v="7"/>
    <x v="1"/>
  </r>
  <r>
    <x v="361"/>
    <x v="3"/>
    <x v="0"/>
    <x v="30"/>
    <x v="13"/>
    <d v="2025-10-10T00:00:00"/>
    <d v="2025-10-12T00:00:00"/>
    <x v="0"/>
    <x v="0"/>
    <d v="2025-11-05T00:00:00"/>
    <n v="4"/>
    <n v="4"/>
    <n v="2"/>
    <x v="6"/>
  </r>
  <r>
    <x v="362"/>
    <x v="1"/>
    <x v="0"/>
    <x v="11"/>
    <x v="3"/>
    <d v="2025-10-19T00:00:00"/>
    <d v="2025-10-26T00:00:00"/>
    <x v="0"/>
    <x v="0"/>
    <d v="2025-11-05T00:00:00"/>
    <n v="3"/>
    <n v="1"/>
    <n v="7"/>
    <x v="10"/>
  </r>
  <r>
    <x v="363"/>
    <x v="2"/>
    <x v="0"/>
    <x v="25"/>
    <x v="6"/>
    <d v="2025-10-10T00:00:00"/>
    <d v="2025-10-12T00:00:00"/>
    <x v="0"/>
    <x v="0"/>
    <d v="2025-11-10T00:00:00"/>
    <n v="2"/>
    <n v="5"/>
    <n v="2"/>
    <x v="8"/>
  </r>
  <r>
    <x v="364"/>
    <x v="0"/>
    <x v="0"/>
    <x v="1"/>
    <x v="24"/>
    <d v="2025-10-18T00:00:00"/>
    <d v="2025-10-20T00:00:00"/>
    <x v="0"/>
    <x v="0"/>
    <d v="2025-11-17T00:00:00"/>
    <n v="5"/>
    <n v="2"/>
    <n v="2"/>
    <x v="7"/>
  </r>
  <r>
    <x v="365"/>
    <x v="3"/>
    <x v="0"/>
    <x v="17"/>
    <x v="21"/>
    <d v="2025-10-13T00:00:00"/>
    <d v="2025-10-16T00:00:00"/>
    <x v="0"/>
    <x v="0"/>
    <d v="2025-11-11T00:00:00"/>
    <n v="1"/>
    <n v="3"/>
    <n v="3"/>
    <x v="4"/>
  </r>
  <r>
    <x v="366"/>
    <x v="0"/>
    <x v="0"/>
    <x v="1"/>
    <x v="14"/>
    <d v="2025-10-16T00:00:00"/>
    <d v="2025-10-21T00:00:00"/>
    <x v="0"/>
    <x v="0"/>
    <d v="2025-11-13T00:00:00"/>
    <n v="4"/>
    <n v="1"/>
    <n v="5"/>
    <x v="9"/>
  </r>
  <r>
    <x v="367"/>
    <x v="1"/>
    <x v="2"/>
    <x v="7"/>
    <x v="27"/>
    <d v="2025-10-11T00:00:00"/>
    <d v="2025-10-13T00:00:00"/>
    <x v="1"/>
    <x v="2"/>
    <m/>
    <n v="5"/>
    <n v="2"/>
    <n v="2"/>
    <x v="2"/>
  </r>
  <r>
    <x v="368"/>
    <x v="1"/>
    <x v="0"/>
    <x v="22"/>
    <x v="28"/>
    <d v="2025-11-02T00:00:00"/>
    <d v="2025-11-05T00:00:00"/>
    <x v="0"/>
    <x v="0"/>
    <d v="2025-11-18T00:00:00"/>
    <n v="3"/>
    <n v="5"/>
    <n v="3"/>
    <x v="4"/>
  </r>
  <r>
    <x v="369"/>
    <x v="1"/>
    <x v="2"/>
    <x v="27"/>
    <x v="1"/>
    <d v="2025-10-18T00:00:00"/>
    <d v="2025-10-24T00:00:00"/>
    <x v="0"/>
    <x v="0"/>
    <d v="2025-11-16T00:00:00"/>
    <n v="1"/>
    <n v="4"/>
    <n v="6"/>
    <x v="8"/>
  </r>
  <r>
    <x v="370"/>
    <x v="3"/>
    <x v="0"/>
    <x v="3"/>
    <x v="4"/>
    <d v="2025-11-05T00:00:00"/>
    <d v="2025-11-08T00:00:00"/>
    <x v="0"/>
    <x v="0"/>
    <d v="2025-11-22T00:00:00"/>
    <n v="3"/>
    <n v="5"/>
    <n v="3"/>
    <x v="11"/>
  </r>
  <r>
    <x v="371"/>
    <x v="2"/>
    <x v="0"/>
    <x v="16"/>
    <x v="5"/>
    <d v="2025-10-22T00:00:00"/>
    <d v="2025-10-28T00:00:00"/>
    <x v="0"/>
    <x v="0"/>
    <d v="2025-11-11T00:00:00"/>
    <n v="3"/>
    <n v="2"/>
    <n v="6"/>
    <x v="10"/>
  </r>
  <r>
    <x v="372"/>
    <x v="3"/>
    <x v="0"/>
    <x v="5"/>
    <x v="23"/>
    <d v="2025-10-31T00:00:00"/>
    <d v="2025-11-07T00:00:00"/>
    <x v="0"/>
    <x v="0"/>
    <d v="2025-12-05T00:00:00"/>
    <n v="2"/>
    <n v="2"/>
    <n v="7"/>
    <x v="7"/>
  </r>
  <r>
    <x v="373"/>
    <x v="0"/>
    <x v="0"/>
    <x v="2"/>
    <x v="33"/>
    <d v="2025-10-04T00:00:00"/>
    <d v="2025-10-09T00:00:00"/>
    <x v="0"/>
    <x v="0"/>
    <d v="2025-11-06T00:00:00"/>
    <n v="2"/>
    <n v="1"/>
    <n v="5"/>
    <x v="0"/>
  </r>
  <r>
    <x v="374"/>
    <x v="3"/>
    <x v="2"/>
    <x v="26"/>
    <x v="0"/>
    <d v="2025-10-26T00:00:00"/>
    <d v="2025-10-28T00:00:00"/>
    <x v="0"/>
    <x v="0"/>
    <d v="2025-11-25T00:00:00"/>
    <n v="3"/>
    <n v="1"/>
    <n v="2"/>
    <x v="3"/>
  </r>
  <r>
    <x v="375"/>
    <x v="0"/>
    <x v="0"/>
    <x v="3"/>
    <x v="10"/>
    <d v="2025-11-04T00:00:00"/>
    <d v="2025-11-06T00:00:00"/>
    <x v="1"/>
    <x v="3"/>
    <m/>
    <n v="4"/>
    <n v="3"/>
    <n v="2"/>
    <x v="2"/>
  </r>
  <r>
    <x v="376"/>
    <x v="3"/>
    <x v="0"/>
    <x v="21"/>
    <x v="5"/>
    <d v="2025-10-24T00:00:00"/>
    <d v="2025-10-31T00:00:00"/>
    <x v="0"/>
    <x v="0"/>
    <d v="2025-11-13T00:00:00"/>
    <n v="2"/>
    <n v="4"/>
    <n v="7"/>
    <x v="9"/>
  </r>
  <r>
    <x v="377"/>
    <x v="2"/>
    <x v="0"/>
    <x v="11"/>
    <x v="7"/>
    <d v="2025-10-22T00:00:00"/>
    <d v="2025-10-26T00:00:00"/>
    <x v="0"/>
    <x v="0"/>
    <d v="2025-11-08T00:00:00"/>
    <n v="2"/>
    <n v="5"/>
    <n v="4"/>
    <x v="3"/>
  </r>
  <r>
    <x v="378"/>
    <x v="0"/>
    <x v="1"/>
    <x v="4"/>
    <x v="2"/>
    <m/>
    <m/>
    <x v="1"/>
    <x v="4"/>
    <m/>
    <m/>
    <m/>
    <m/>
    <x v="2"/>
  </r>
  <r>
    <x v="379"/>
    <x v="1"/>
    <x v="2"/>
    <x v="30"/>
    <x v="26"/>
    <d v="2025-10-08T00:00:00"/>
    <d v="2025-10-10T00:00:00"/>
    <x v="0"/>
    <x v="0"/>
    <d v="2025-11-07T00:00:00"/>
    <n v="2"/>
    <n v="4"/>
    <n v="2"/>
    <x v="4"/>
  </r>
  <r>
    <x v="380"/>
    <x v="1"/>
    <x v="0"/>
    <x v="28"/>
    <x v="27"/>
    <d v="2025-10-14T00:00:00"/>
    <d v="2025-10-19T00:00:00"/>
    <x v="0"/>
    <x v="0"/>
    <d v="2025-11-01T00:00:00"/>
    <n v="2"/>
    <n v="5"/>
    <n v="5"/>
    <x v="10"/>
  </r>
  <r>
    <x v="381"/>
    <x v="3"/>
    <x v="0"/>
    <x v="16"/>
    <x v="3"/>
    <d v="2025-10-22T00:00:00"/>
    <d v="2025-10-29T00:00:00"/>
    <x v="0"/>
    <x v="0"/>
    <d v="2025-11-17T00:00:00"/>
    <n v="1"/>
    <n v="4"/>
    <n v="7"/>
    <x v="1"/>
  </r>
  <r>
    <x v="382"/>
    <x v="1"/>
    <x v="0"/>
    <x v="9"/>
    <x v="14"/>
    <d v="2025-10-17T00:00:00"/>
    <d v="2025-10-20T00:00:00"/>
    <x v="0"/>
    <x v="0"/>
    <d v="2025-11-16T00:00:00"/>
    <n v="3"/>
    <n v="2"/>
    <n v="3"/>
    <x v="8"/>
  </r>
  <r>
    <x v="383"/>
    <x v="0"/>
    <x v="2"/>
    <x v="18"/>
    <x v="16"/>
    <d v="2025-10-23T00:00:00"/>
    <d v="2025-10-28T00:00:00"/>
    <x v="0"/>
    <x v="0"/>
    <d v="2025-11-18T00:00:00"/>
    <n v="1"/>
    <n v="2"/>
    <n v="5"/>
    <x v="3"/>
  </r>
  <r>
    <x v="384"/>
    <x v="1"/>
    <x v="2"/>
    <x v="22"/>
    <x v="11"/>
    <d v="2025-11-03T00:00:00"/>
    <d v="2025-11-05T00:00:00"/>
    <x v="1"/>
    <x v="2"/>
    <m/>
    <n v="5"/>
    <n v="4"/>
    <n v="2"/>
    <x v="2"/>
  </r>
  <r>
    <x v="385"/>
    <x v="2"/>
    <x v="1"/>
    <x v="6"/>
    <x v="2"/>
    <m/>
    <m/>
    <x v="1"/>
    <x v="5"/>
    <m/>
    <m/>
    <m/>
    <m/>
    <x v="2"/>
  </r>
  <r>
    <x v="386"/>
    <x v="2"/>
    <x v="0"/>
    <x v="0"/>
    <x v="25"/>
    <d v="2025-10-29T00:00:00"/>
    <d v="2025-11-01T00:00:00"/>
    <x v="0"/>
    <x v="0"/>
    <d v="2025-11-24T00:00:00"/>
    <n v="5"/>
    <n v="3"/>
    <n v="3"/>
    <x v="7"/>
  </r>
  <r>
    <x v="387"/>
    <x v="3"/>
    <x v="0"/>
    <x v="11"/>
    <x v="5"/>
    <d v="2025-10-22T00:00:00"/>
    <d v="2025-10-27T00:00:00"/>
    <x v="1"/>
    <x v="5"/>
    <m/>
    <n v="5"/>
    <n v="2"/>
    <n v="5"/>
    <x v="2"/>
  </r>
  <r>
    <x v="388"/>
    <x v="0"/>
    <x v="0"/>
    <x v="22"/>
    <x v="25"/>
    <d v="2025-10-29T00:00:00"/>
    <d v="2025-10-31T00:00:00"/>
    <x v="0"/>
    <x v="0"/>
    <d v="2025-11-18T00:00:00"/>
    <n v="1"/>
    <n v="3"/>
    <n v="2"/>
    <x v="9"/>
  </r>
  <r>
    <x v="389"/>
    <x v="2"/>
    <x v="0"/>
    <x v="30"/>
    <x v="6"/>
    <d v="2025-10-07T00:00:00"/>
    <d v="2025-10-14T00:00:00"/>
    <x v="0"/>
    <x v="0"/>
    <d v="2025-11-05T00:00:00"/>
    <n v="3"/>
    <n v="2"/>
    <n v="7"/>
    <x v="5"/>
  </r>
  <r>
    <x v="390"/>
    <x v="2"/>
    <x v="2"/>
    <x v="28"/>
    <x v="20"/>
    <d v="2025-10-13T00:00:00"/>
    <d v="2025-10-15T00:00:00"/>
    <x v="0"/>
    <x v="0"/>
    <d v="2025-11-14T00:00:00"/>
    <n v="5"/>
    <n v="1"/>
    <n v="2"/>
    <x v="10"/>
  </r>
  <r>
    <x v="391"/>
    <x v="0"/>
    <x v="0"/>
    <x v="17"/>
    <x v="17"/>
    <d v="2025-10-12T00:00:00"/>
    <d v="2025-10-14T00:00:00"/>
    <x v="0"/>
    <x v="0"/>
    <d v="2025-11-08T00:00:00"/>
    <n v="2"/>
    <n v="1"/>
    <n v="2"/>
    <x v="8"/>
  </r>
  <r>
    <x v="392"/>
    <x v="1"/>
    <x v="0"/>
    <x v="21"/>
    <x v="18"/>
    <d v="2025-10-27T00:00:00"/>
    <d v="2025-10-31T00:00:00"/>
    <x v="0"/>
    <x v="0"/>
    <d v="2025-11-28T00:00:00"/>
    <n v="5"/>
    <n v="4"/>
    <n v="4"/>
    <x v="5"/>
  </r>
  <r>
    <x v="393"/>
    <x v="1"/>
    <x v="1"/>
    <x v="13"/>
    <x v="2"/>
    <m/>
    <m/>
    <x v="1"/>
    <x v="1"/>
    <m/>
    <m/>
    <m/>
    <m/>
    <x v="2"/>
  </r>
  <r>
    <x v="394"/>
    <x v="3"/>
    <x v="2"/>
    <x v="20"/>
    <x v="35"/>
    <d v="2025-11-08T00:00:00"/>
    <d v="2025-11-12T00:00:00"/>
    <x v="0"/>
    <x v="0"/>
    <d v="2025-12-11T00:00:00"/>
    <n v="4"/>
    <n v="5"/>
    <n v="4"/>
    <x v="0"/>
  </r>
  <r>
    <x v="395"/>
    <x v="1"/>
    <x v="0"/>
    <x v="29"/>
    <x v="20"/>
    <d v="2025-10-13T00:00:00"/>
    <d v="2025-10-17T00:00:00"/>
    <x v="0"/>
    <x v="0"/>
    <d v="2025-11-11T00:00:00"/>
    <n v="2"/>
    <n v="1"/>
    <n v="4"/>
    <x v="1"/>
  </r>
  <r>
    <x v="396"/>
    <x v="0"/>
    <x v="0"/>
    <x v="11"/>
    <x v="7"/>
    <d v="2025-10-19T00:00:00"/>
    <d v="2025-10-22T00:00:00"/>
    <x v="0"/>
    <x v="0"/>
    <d v="2025-11-02T00:00:00"/>
    <n v="2"/>
    <n v="2"/>
    <n v="3"/>
    <x v="5"/>
  </r>
  <r>
    <x v="397"/>
    <x v="2"/>
    <x v="0"/>
    <x v="10"/>
    <x v="4"/>
    <d v="2025-11-02T00:00:00"/>
    <d v="2025-11-07T00:00:00"/>
    <x v="0"/>
    <x v="0"/>
    <d v="2025-11-22T00:00:00"/>
    <n v="2"/>
    <n v="2"/>
    <n v="5"/>
    <x v="0"/>
  </r>
  <r>
    <x v="398"/>
    <x v="1"/>
    <x v="0"/>
    <x v="12"/>
    <x v="28"/>
    <d v="2025-10-29T00:00:00"/>
    <d v="2025-11-01T00:00:00"/>
    <x v="0"/>
    <x v="0"/>
    <d v="2025-11-19T00:00:00"/>
    <n v="5"/>
    <n v="1"/>
    <n v="3"/>
    <x v="5"/>
  </r>
  <r>
    <x v="399"/>
    <x v="3"/>
    <x v="0"/>
    <x v="6"/>
    <x v="3"/>
    <d v="2025-10-19T00:00:00"/>
    <d v="2025-10-26T00:00:00"/>
    <x v="0"/>
    <x v="0"/>
    <d v="2025-11-17T00:00:00"/>
    <n v="2"/>
    <n v="1"/>
    <n v="7"/>
    <x v="11"/>
  </r>
  <r>
    <x v="400"/>
    <x v="1"/>
    <x v="0"/>
    <x v="7"/>
    <x v="30"/>
    <d v="2025-10-13T00:00:00"/>
    <d v="2025-10-20T00:00:00"/>
    <x v="0"/>
    <x v="0"/>
    <d v="2025-11-03T00:00:00"/>
    <n v="4"/>
    <n v="5"/>
    <n v="7"/>
    <x v="10"/>
  </r>
  <r>
    <x v="401"/>
    <x v="0"/>
    <x v="0"/>
    <x v="2"/>
    <x v="29"/>
    <d v="2025-10-03T00:00:00"/>
    <d v="2025-10-06T00:00:00"/>
    <x v="0"/>
    <x v="0"/>
    <d v="2025-11-04T00:00:00"/>
    <n v="1"/>
    <n v="1"/>
    <n v="3"/>
    <x v="1"/>
  </r>
  <r>
    <x v="402"/>
    <x v="3"/>
    <x v="0"/>
    <x v="0"/>
    <x v="0"/>
    <d v="2025-10-29T00:00:00"/>
    <d v="2025-10-31T00:00:00"/>
    <x v="0"/>
    <x v="0"/>
    <d v="2025-11-29T00:00:00"/>
    <n v="4"/>
    <n v="4"/>
    <n v="2"/>
    <x v="11"/>
  </r>
  <r>
    <x v="403"/>
    <x v="1"/>
    <x v="1"/>
    <x v="18"/>
    <x v="2"/>
    <m/>
    <m/>
    <x v="1"/>
    <x v="3"/>
    <m/>
    <m/>
    <m/>
    <m/>
    <x v="2"/>
  </r>
  <r>
    <x v="404"/>
    <x v="3"/>
    <x v="0"/>
    <x v="19"/>
    <x v="23"/>
    <d v="2025-11-03T00:00:00"/>
    <d v="2025-11-09T00:00:00"/>
    <x v="1"/>
    <x v="1"/>
    <m/>
    <n v="3"/>
    <n v="5"/>
    <n v="6"/>
    <x v="2"/>
  </r>
  <r>
    <x v="405"/>
    <x v="0"/>
    <x v="0"/>
    <x v="24"/>
    <x v="21"/>
    <d v="2025-10-11T00:00:00"/>
    <d v="2025-10-17T00:00:00"/>
    <x v="0"/>
    <x v="0"/>
    <d v="2025-11-08T00:00:00"/>
    <n v="2"/>
    <n v="1"/>
    <n v="6"/>
    <x v="11"/>
  </r>
  <r>
    <x v="406"/>
    <x v="2"/>
    <x v="2"/>
    <x v="12"/>
    <x v="12"/>
    <d v="2025-10-29T00:00:00"/>
    <d v="2025-10-31T00:00:00"/>
    <x v="0"/>
    <x v="0"/>
    <d v="2025-11-11T00:00:00"/>
    <n v="4"/>
    <n v="2"/>
    <n v="2"/>
    <x v="11"/>
  </r>
  <r>
    <x v="407"/>
    <x v="0"/>
    <x v="1"/>
    <x v="14"/>
    <x v="2"/>
    <m/>
    <m/>
    <x v="1"/>
    <x v="1"/>
    <m/>
    <m/>
    <m/>
    <m/>
    <x v="2"/>
  </r>
  <r>
    <x v="408"/>
    <x v="0"/>
    <x v="2"/>
    <x v="29"/>
    <x v="14"/>
    <d v="2025-10-16T00:00:00"/>
    <d v="2025-10-22T00:00:00"/>
    <x v="1"/>
    <x v="1"/>
    <m/>
    <n v="5"/>
    <n v="1"/>
    <n v="6"/>
    <x v="2"/>
  </r>
  <r>
    <x v="409"/>
    <x v="0"/>
    <x v="2"/>
    <x v="21"/>
    <x v="16"/>
    <d v="2025-10-25T00:00:00"/>
    <d v="2025-11-01T00:00:00"/>
    <x v="0"/>
    <x v="0"/>
    <d v="2025-11-23T00:00:00"/>
    <n v="3"/>
    <n v="4"/>
    <n v="7"/>
    <x v="10"/>
  </r>
  <r>
    <x v="410"/>
    <x v="0"/>
    <x v="2"/>
    <x v="2"/>
    <x v="6"/>
    <d v="2025-10-09T00:00:00"/>
    <d v="2025-10-12T00:00:00"/>
    <x v="0"/>
    <x v="0"/>
    <d v="2025-11-01T00:00:00"/>
    <n v="4"/>
    <n v="4"/>
    <n v="3"/>
    <x v="10"/>
  </r>
  <r>
    <x v="411"/>
    <x v="2"/>
    <x v="0"/>
    <x v="21"/>
    <x v="5"/>
    <d v="2025-10-22T00:00:00"/>
    <d v="2025-10-27T00:00:00"/>
    <x v="0"/>
    <x v="0"/>
    <d v="2025-11-13T00:00:00"/>
    <n v="2"/>
    <n v="2"/>
    <n v="5"/>
    <x v="4"/>
  </r>
  <r>
    <x v="412"/>
    <x v="2"/>
    <x v="2"/>
    <x v="4"/>
    <x v="22"/>
    <d v="2025-10-24T00:00:00"/>
    <d v="2025-10-28T00:00:00"/>
    <x v="0"/>
    <x v="0"/>
    <d v="2025-11-08T00:00:00"/>
    <n v="5"/>
    <n v="5"/>
    <n v="4"/>
    <x v="11"/>
  </r>
  <r>
    <x v="413"/>
    <x v="3"/>
    <x v="2"/>
    <x v="25"/>
    <x v="6"/>
    <d v="2025-10-07T00:00:00"/>
    <d v="2025-10-14T00:00:00"/>
    <x v="0"/>
    <x v="0"/>
    <d v="2025-11-08T00:00:00"/>
    <n v="2"/>
    <n v="2"/>
    <n v="7"/>
    <x v="9"/>
  </r>
  <r>
    <x v="414"/>
    <x v="1"/>
    <x v="2"/>
    <x v="24"/>
    <x v="17"/>
    <d v="2025-10-12T00:00:00"/>
    <d v="2025-10-15T00:00:00"/>
    <x v="1"/>
    <x v="5"/>
    <m/>
    <n v="3"/>
    <n v="1"/>
    <n v="3"/>
    <x v="2"/>
  </r>
  <r>
    <x v="415"/>
    <x v="2"/>
    <x v="2"/>
    <x v="5"/>
    <x v="4"/>
    <d v="2025-11-02T00:00:00"/>
    <d v="2025-11-09T00:00:00"/>
    <x v="0"/>
    <x v="0"/>
    <d v="2025-11-27T00:00:00"/>
    <n v="4"/>
    <n v="2"/>
    <n v="7"/>
    <x v="6"/>
  </r>
  <r>
    <x v="416"/>
    <x v="2"/>
    <x v="0"/>
    <x v="20"/>
    <x v="10"/>
    <d v="2025-11-06T00:00:00"/>
    <d v="2025-11-13T00:00:00"/>
    <x v="0"/>
    <x v="0"/>
    <d v="2025-12-04T00:00:00"/>
    <n v="2"/>
    <n v="5"/>
    <n v="7"/>
    <x v="8"/>
  </r>
  <r>
    <x v="417"/>
    <x v="1"/>
    <x v="0"/>
    <x v="7"/>
    <x v="15"/>
    <d v="2025-10-10T00:00:00"/>
    <d v="2025-10-13T00:00:00"/>
    <x v="0"/>
    <x v="0"/>
    <d v="2025-10-23T00:00:00"/>
    <n v="3"/>
    <n v="3"/>
    <n v="3"/>
    <x v="4"/>
  </r>
  <r>
    <x v="418"/>
    <x v="2"/>
    <x v="0"/>
    <x v="11"/>
    <x v="5"/>
    <d v="2025-10-22T00:00:00"/>
    <d v="2025-10-27T00:00:00"/>
    <x v="0"/>
    <x v="0"/>
    <d v="2025-11-16T00:00:00"/>
    <n v="5"/>
    <n v="2"/>
    <n v="5"/>
    <x v="3"/>
  </r>
  <r>
    <x v="419"/>
    <x v="0"/>
    <x v="0"/>
    <x v="8"/>
    <x v="8"/>
    <d v="2025-11-09T00:00:00"/>
    <d v="2025-11-15T00:00:00"/>
    <x v="0"/>
    <x v="0"/>
    <d v="2025-12-04T00:00:00"/>
    <n v="4"/>
    <n v="5"/>
    <n v="6"/>
    <x v="7"/>
  </r>
  <r>
    <x v="420"/>
    <x v="0"/>
    <x v="0"/>
    <x v="7"/>
    <x v="30"/>
    <d v="2025-10-11T00:00:00"/>
    <d v="2025-10-18T00:00:00"/>
    <x v="0"/>
    <x v="0"/>
    <d v="2025-11-06T00:00:00"/>
    <n v="4"/>
    <n v="3"/>
    <n v="7"/>
    <x v="10"/>
  </r>
  <r>
    <x v="421"/>
    <x v="1"/>
    <x v="2"/>
    <x v="0"/>
    <x v="9"/>
    <d v="2025-10-29T00:00:00"/>
    <d v="2025-11-03T00:00:00"/>
    <x v="0"/>
    <x v="0"/>
    <d v="2025-11-21T00:00:00"/>
    <n v="3"/>
    <n v="5"/>
    <n v="5"/>
    <x v="11"/>
  </r>
  <r>
    <x v="422"/>
    <x v="3"/>
    <x v="0"/>
    <x v="5"/>
    <x v="4"/>
    <d v="2025-11-05T00:00:00"/>
    <d v="2025-11-08T00:00:00"/>
    <x v="0"/>
    <x v="0"/>
    <d v="2025-12-03T00:00:00"/>
    <n v="4"/>
    <n v="5"/>
    <n v="3"/>
    <x v="0"/>
  </r>
  <r>
    <x v="423"/>
    <x v="3"/>
    <x v="1"/>
    <x v="13"/>
    <x v="2"/>
    <m/>
    <m/>
    <x v="1"/>
    <x v="5"/>
    <m/>
    <m/>
    <m/>
    <m/>
    <x v="2"/>
  </r>
  <r>
    <x v="424"/>
    <x v="1"/>
    <x v="0"/>
    <x v="6"/>
    <x v="16"/>
    <d v="2025-10-24T00:00:00"/>
    <d v="2025-10-26T00:00:00"/>
    <x v="0"/>
    <x v="0"/>
    <d v="2025-11-08T00:00:00"/>
    <n v="5"/>
    <n v="3"/>
    <n v="2"/>
    <x v="9"/>
  </r>
  <r>
    <x v="425"/>
    <x v="1"/>
    <x v="2"/>
    <x v="20"/>
    <x v="8"/>
    <d v="2025-11-06T00:00:00"/>
    <d v="2025-11-08T00:00:00"/>
    <x v="0"/>
    <x v="0"/>
    <d v="2025-11-25T00:00:00"/>
    <n v="5"/>
    <n v="2"/>
    <n v="2"/>
    <x v="9"/>
  </r>
  <r>
    <x v="426"/>
    <x v="0"/>
    <x v="0"/>
    <x v="12"/>
    <x v="12"/>
    <d v="2025-10-30T00:00:00"/>
    <d v="2025-11-02T00:00:00"/>
    <x v="0"/>
    <x v="0"/>
    <d v="2025-11-16T00:00:00"/>
    <n v="4"/>
    <n v="3"/>
    <n v="3"/>
    <x v="5"/>
  </r>
  <r>
    <x v="427"/>
    <x v="3"/>
    <x v="0"/>
    <x v="29"/>
    <x v="20"/>
    <d v="2025-10-14T00:00:00"/>
    <d v="2025-10-16T00:00:00"/>
    <x v="0"/>
    <x v="0"/>
    <d v="2025-11-04T00:00:00"/>
    <n v="2"/>
    <n v="2"/>
    <n v="2"/>
    <x v="11"/>
  </r>
  <r>
    <x v="428"/>
    <x v="2"/>
    <x v="0"/>
    <x v="16"/>
    <x v="22"/>
    <d v="2025-10-24T00:00:00"/>
    <d v="2025-10-30T00:00:00"/>
    <x v="0"/>
    <x v="0"/>
    <d v="2025-11-23T00:00:00"/>
    <n v="2"/>
    <n v="5"/>
    <n v="6"/>
    <x v="1"/>
  </r>
  <r>
    <x v="429"/>
    <x v="0"/>
    <x v="2"/>
    <x v="12"/>
    <x v="28"/>
    <d v="2025-10-30T00:00:00"/>
    <d v="2025-11-06T00:00:00"/>
    <x v="0"/>
    <x v="0"/>
    <d v="2025-11-26T00:00:00"/>
    <n v="5"/>
    <n v="2"/>
    <n v="7"/>
    <x v="5"/>
  </r>
  <r>
    <x v="430"/>
    <x v="1"/>
    <x v="2"/>
    <x v="17"/>
    <x v="17"/>
    <d v="2025-10-15T00:00:00"/>
    <d v="2025-10-20T00:00:00"/>
    <x v="0"/>
    <x v="0"/>
    <d v="2025-11-07T00:00:00"/>
    <n v="2"/>
    <n v="4"/>
    <n v="5"/>
    <x v="4"/>
  </r>
  <r>
    <x v="431"/>
    <x v="3"/>
    <x v="2"/>
    <x v="4"/>
    <x v="7"/>
    <d v="2025-10-20T00:00:00"/>
    <d v="2025-10-24T00:00:00"/>
    <x v="0"/>
    <x v="0"/>
    <d v="2025-11-16T00:00:00"/>
    <n v="3"/>
    <n v="3"/>
    <n v="4"/>
    <x v="8"/>
  </r>
  <r>
    <x v="432"/>
    <x v="2"/>
    <x v="1"/>
    <x v="5"/>
    <x v="2"/>
    <m/>
    <m/>
    <x v="1"/>
    <x v="1"/>
    <m/>
    <m/>
    <m/>
    <m/>
    <x v="2"/>
  </r>
  <r>
    <x v="433"/>
    <x v="2"/>
    <x v="0"/>
    <x v="6"/>
    <x v="7"/>
    <d v="2025-10-20T00:00:00"/>
    <d v="2025-10-25T00:00:00"/>
    <x v="0"/>
    <x v="0"/>
    <d v="2025-11-23T00:00:00"/>
    <n v="1"/>
    <n v="3"/>
    <n v="5"/>
    <x v="10"/>
  </r>
  <r>
    <x v="434"/>
    <x v="0"/>
    <x v="2"/>
    <x v="6"/>
    <x v="5"/>
    <d v="2025-10-21T00:00:00"/>
    <d v="2025-10-25T00:00:00"/>
    <x v="0"/>
    <x v="0"/>
    <d v="2025-11-24T00:00:00"/>
    <n v="4"/>
    <n v="1"/>
    <n v="4"/>
    <x v="9"/>
  </r>
  <r>
    <x v="435"/>
    <x v="3"/>
    <x v="2"/>
    <x v="24"/>
    <x v="17"/>
    <d v="2025-10-16T00:00:00"/>
    <d v="2025-10-19T00:00:00"/>
    <x v="0"/>
    <x v="0"/>
    <d v="2025-10-31T00:00:00"/>
    <n v="3"/>
    <n v="5"/>
    <n v="3"/>
    <x v="11"/>
  </r>
  <r>
    <x v="436"/>
    <x v="3"/>
    <x v="0"/>
    <x v="11"/>
    <x v="5"/>
    <d v="2025-10-25T00:00:00"/>
    <d v="2025-10-28T00:00:00"/>
    <x v="0"/>
    <x v="0"/>
    <d v="2025-11-13T00:00:00"/>
    <n v="5"/>
    <n v="5"/>
    <n v="3"/>
    <x v="9"/>
  </r>
  <r>
    <x v="437"/>
    <x v="1"/>
    <x v="2"/>
    <x v="21"/>
    <x v="22"/>
    <d v="2025-10-21T00:00:00"/>
    <d v="2025-10-25T00:00:00"/>
    <x v="0"/>
    <x v="0"/>
    <d v="2025-11-18T00:00:00"/>
    <n v="1"/>
    <n v="2"/>
    <n v="4"/>
    <x v="1"/>
  </r>
  <r>
    <x v="438"/>
    <x v="3"/>
    <x v="2"/>
    <x v="13"/>
    <x v="21"/>
    <d v="2025-10-14T00:00:00"/>
    <d v="2025-10-21T00:00:00"/>
    <x v="0"/>
    <x v="0"/>
    <d v="2025-11-06T00:00:00"/>
    <n v="5"/>
    <n v="4"/>
    <n v="7"/>
    <x v="11"/>
  </r>
  <r>
    <x v="439"/>
    <x v="3"/>
    <x v="1"/>
    <x v="27"/>
    <x v="2"/>
    <m/>
    <m/>
    <x v="1"/>
    <x v="5"/>
    <m/>
    <m/>
    <m/>
    <m/>
    <x v="2"/>
  </r>
  <r>
    <x v="440"/>
    <x v="0"/>
    <x v="2"/>
    <x v="28"/>
    <x v="30"/>
    <d v="2025-10-13T00:00:00"/>
    <d v="2025-10-15T00:00:00"/>
    <x v="0"/>
    <x v="0"/>
    <d v="2025-11-07T00:00:00"/>
    <n v="1"/>
    <n v="5"/>
    <n v="2"/>
    <x v="10"/>
  </r>
  <r>
    <x v="441"/>
    <x v="3"/>
    <x v="0"/>
    <x v="20"/>
    <x v="34"/>
    <d v="2025-11-06T00:00:00"/>
    <d v="2025-11-09T00:00:00"/>
    <x v="0"/>
    <x v="0"/>
    <d v="2025-12-04T00:00:00"/>
    <n v="3"/>
    <n v="4"/>
    <n v="3"/>
    <x v="1"/>
  </r>
  <r>
    <x v="442"/>
    <x v="2"/>
    <x v="1"/>
    <x v="18"/>
    <x v="2"/>
    <m/>
    <m/>
    <x v="1"/>
    <x v="3"/>
    <m/>
    <m/>
    <m/>
    <m/>
    <x v="2"/>
  </r>
  <r>
    <x v="443"/>
    <x v="0"/>
    <x v="0"/>
    <x v="16"/>
    <x v="3"/>
    <d v="2025-10-19T00:00:00"/>
    <d v="2025-10-25T00:00:00"/>
    <x v="0"/>
    <x v="0"/>
    <d v="2025-11-20T00:00:00"/>
    <n v="1"/>
    <n v="1"/>
    <n v="6"/>
    <x v="5"/>
  </r>
  <r>
    <x v="444"/>
    <x v="0"/>
    <x v="2"/>
    <x v="15"/>
    <x v="25"/>
    <d v="2025-10-29T00:00:00"/>
    <d v="2025-11-04T00:00:00"/>
    <x v="1"/>
    <x v="1"/>
    <m/>
    <n v="2"/>
    <n v="3"/>
    <n v="6"/>
    <x v="2"/>
  </r>
  <r>
    <x v="445"/>
    <x v="1"/>
    <x v="2"/>
    <x v="10"/>
    <x v="10"/>
    <d v="2025-11-05T00:00:00"/>
    <d v="2025-11-11T00:00:00"/>
    <x v="0"/>
    <x v="0"/>
    <d v="2025-12-02T00:00:00"/>
    <n v="3"/>
    <n v="4"/>
    <n v="6"/>
    <x v="9"/>
  </r>
  <r>
    <x v="446"/>
    <x v="3"/>
    <x v="1"/>
    <x v="13"/>
    <x v="2"/>
    <m/>
    <m/>
    <x v="1"/>
    <x v="5"/>
    <m/>
    <m/>
    <m/>
    <m/>
    <x v="2"/>
  </r>
  <r>
    <x v="447"/>
    <x v="1"/>
    <x v="1"/>
    <x v="3"/>
    <x v="2"/>
    <m/>
    <m/>
    <x v="1"/>
    <x v="2"/>
    <m/>
    <m/>
    <m/>
    <m/>
    <x v="2"/>
  </r>
  <r>
    <x v="448"/>
    <x v="2"/>
    <x v="0"/>
    <x v="25"/>
    <x v="15"/>
    <d v="2025-10-12T00:00:00"/>
    <d v="2025-10-19T00:00:00"/>
    <x v="0"/>
    <x v="0"/>
    <d v="2025-10-30T00:00:00"/>
    <n v="4"/>
    <n v="5"/>
    <n v="7"/>
    <x v="9"/>
  </r>
  <r>
    <x v="449"/>
    <x v="0"/>
    <x v="2"/>
    <x v="17"/>
    <x v="1"/>
    <d v="2025-10-17T00:00:00"/>
    <d v="2025-10-23T00:00:00"/>
    <x v="0"/>
    <x v="0"/>
    <d v="2025-11-18T00:00:00"/>
    <n v="5"/>
    <n v="3"/>
    <n v="6"/>
    <x v="9"/>
  </r>
  <r>
    <x v="450"/>
    <x v="0"/>
    <x v="0"/>
    <x v="22"/>
    <x v="12"/>
    <d v="2025-10-31T00:00:00"/>
    <d v="2025-11-04T00:00:00"/>
    <x v="0"/>
    <x v="0"/>
    <d v="2025-11-19T00:00:00"/>
    <n v="2"/>
    <n v="4"/>
    <n v="4"/>
    <x v="6"/>
  </r>
  <r>
    <x v="451"/>
    <x v="0"/>
    <x v="1"/>
    <x v="19"/>
    <x v="2"/>
    <m/>
    <m/>
    <x v="1"/>
    <x v="1"/>
    <m/>
    <m/>
    <m/>
    <m/>
    <x v="2"/>
  </r>
  <r>
    <x v="452"/>
    <x v="2"/>
    <x v="0"/>
    <x v="3"/>
    <x v="10"/>
    <d v="2025-11-05T00:00:00"/>
    <d v="2025-11-12T00:00:00"/>
    <x v="0"/>
    <x v="0"/>
    <d v="2025-11-24T00:00:00"/>
    <n v="4"/>
    <n v="4"/>
    <n v="7"/>
    <x v="8"/>
  </r>
  <r>
    <x v="453"/>
    <x v="2"/>
    <x v="1"/>
    <x v="4"/>
    <x v="2"/>
    <m/>
    <m/>
    <x v="1"/>
    <x v="1"/>
    <m/>
    <m/>
    <m/>
    <m/>
    <x v="2"/>
  </r>
  <r>
    <x v="454"/>
    <x v="1"/>
    <x v="1"/>
    <x v="1"/>
    <x v="2"/>
    <m/>
    <m/>
    <x v="1"/>
    <x v="3"/>
    <m/>
    <m/>
    <m/>
    <m/>
    <x v="2"/>
  </r>
  <r>
    <x v="455"/>
    <x v="1"/>
    <x v="0"/>
    <x v="20"/>
    <x v="4"/>
    <d v="2025-11-02T00:00:00"/>
    <d v="2025-11-04T00:00:00"/>
    <x v="0"/>
    <x v="0"/>
    <d v="2025-11-23T00:00:00"/>
    <n v="1"/>
    <n v="2"/>
    <n v="2"/>
    <x v="3"/>
  </r>
  <r>
    <x v="456"/>
    <x v="1"/>
    <x v="0"/>
    <x v="19"/>
    <x v="28"/>
    <d v="2025-10-31T00:00:00"/>
    <d v="2025-11-07T00:00:00"/>
    <x v="1"/>
    <x v="4"/>
    <m/>
    <n v="2"/>
    <n v="3"/>
    <n v="7"/>
    <x v="2"/>
  </r>
  <r>
    <x v="457"/>
    <x v="3"/>
    <x v="0"/>
    <x v="16"/>
    <x v="16"/>
    <d v="2025-10-25T00:00:00"/>
    <d v="2025-10-29T00:00:00"/>
    <x v="0"/>
    <x v="0"/>
    <d v="2025-11-24T00:00:00"/>
    <n v="4"/>
    <n v="4"/>
    <n v="4"/>
    <x v="7"/>
  </r>
  <r>
    <x v="458"/>
    <x v="0"/>
    <x v="2"/>
    <x v="17"/>
    <x v="20"/>
    <d v="2025-10-14T00:00:00"/>
    <d v="2025-10-17T00:00:00"/>
    <x v="0"/>
    <x v="0"/>
    <d v="2025-11-08T00:00:00"/>
    <n v="3"/>
    <n v="2"/>
    <n v="3"/>
    <x v="7"/>
  </r>
  <r>
    <x v="459"/>
    <x v="0"/>
    <x v="0"/>
    <x v="5"/>
    <x v="28"/>
    <d v="2025-11-02T00:00:00"/>
    <d v="2025-11-08T00:00:00"/>
    <x v="0"/>
    <x v="0"/>
    <d v="2025-11-22T00:00:00"/>
    <n v="1"/>
    <n v="5"/>
    <n v="6"/>
    <x v="10"/>
  </r>
  <r>
    <x v="460"/>
    <x v="1"/>
    <x v="0"/>
    <x v="2"/>
    <x v="6"/>
    <d v="2025-10-09T00:00:00"/>
    <d v="2025-10-15T00:00:00"/>
    <x v="1"/>
    <x v="4"/>
    <m/>
    <n v="4"/>
    <n v="4"/>
    <n v="6"/>
    <x v="2"/>
  </r>
  <r>
    <x v="461"/>
    <x v="0"/>
    <x v="1"/>
    <x v="29"/>
    <x v="2"/>
    <m/>
    <m/>
    <x v="1"/>
    <x v="3"/>
    <m/>
    <m/>
    <m/>
    <m/>
    <x v="2"/>
  </r>
  <r>
    <x v="462"/>
    <x v="1"/>
    <x v="1"/>
    <x v="15"/>
    <x v="2"/>
    <m/>
    <m/>
    <x v="1"/>
    <x v="3"/>
    <m/>
    <m/>
    <m/>
    <m/>
    <x v="2"/>
  </r>
  <r>
    <x v="463"/>
    <x v="3"/>
    <x v="0"/>
    <x v="29"/>
    <x v="17"/>
    <d v="2025-10-13T00:00:00"/>
    <d v="2025-10-19T00:00:00"/>
    <x v="0"/>
    <x v="0"/>
    <d v="2025-11-14T00:00:00"/>
    <n v="1"/>
    <n v="2"/>
    <n v="6"/>
    <x v="10"/>
  </r>
  <r>
    <x v="464"/>
    <x v="3"/>
    <x v="2"/>
    <x v="5"/>
    <x v="4"/>
    <d v="2025-11-02T00:00:00"/>
    <d v="2025-11-05T00:00:00"/>
    <x v="0"/>
    <x v="0"/>
    <d v="2025-12-03T00:00:00"/>
    <n v="4"/>
    <n v="2"/>
    <n v="3"/>
    <x v="8"/>
  </r>
  <r>
    <x v="465"/>
    <x v="2"/>
    <x v="2"/>
    <x v="23"/>
    <x v="9"/>
    <d v="2025-10-27T00:00:00"/>
    <d v="2025-11-03T00:00:00"/>
    <x v="0"/>
    <x v="0"/>
    <d v="2025-11-13T00:00:00"/>
    <n v="5"/>
    <n v="3"/>
    <n v="7"/>
    <x v="8"/>
  </r>
  <r>
    <x v="466"/>
    <x v="3"/>
    <x v="2"/>
    <x v="23"/>
    <x v="31"/>
    <d v="2025-10-24T00:00:00"/>
    <d v="2025-10-29T00:00:00"/>
    <x v="0"/>
    <x v="0"/>
    <d v="2025-11-13T00:00:00"/>
    <n v="3"/>
    <n v="2"/>
    <n v="5"/>
    <x v="10"/>
  </r>
  <r>
    <x v="467"/>
    <x v="1"/>
    <x v="0"/>
    <x v="26"/>
    <x v="9"/>
    <d v="2025-10-28T00:00:00"/>
    <d v="2025-11-01T00:00:00"/>
    <x v="0"/>
    <x v="0"/>
    <d v="2025-11-17T00:00:00"/>
    <n v="2"/>
    <n v="4"/>
    <n v="4"/>
    <x v="10"/>
  </r>
  <r>
    <x v="468"/>
    <x v="3"/>
    <x v="0"/>
    <x v="6"/>
    <x v="5"/>
    <d v="2025-10-21T00:00:00"/>
    <d v="2025-10-28T00:00:00"/>
    <x v="0"/>
    <x v="0"/>
    <d v="2025-11-13T00:00:00"/>
    <n v="4"/>
    <n v="1"/>
    <n v="7"/>
    <x v="6"/>
  </r>
  <r>
    <x v="469"/>
    <x v="2"/>
    <x v="1"/>
    <x v="3"/>
    <x v="2"/>
    <m/>
    <m/>
    <x v="1"/>
    <x v="3"/>
    <m/>
    <m/>
    <m/>
    <m/>
    <x v="2"/>
  </r>
  <r>
    <x v="470"/>
    <x v="0"/>
    <x v="0"/>
    <x v="13"/>
    <x v="13"/>
    <d v="2025-10-11T00:00:00"/>
    <d v="2025-10-13T00:00:00"/>
    <x v="0"/>
    <x v="0"/>
    <d v="2025-10-24T00:00:00"/>
    <n v="1"/>
    <n v="5"/>
    <n v="2"/>
    <x v="11"/>
  </r>
  <r>
    <x v="471"/>
    <x v="1"/>
    <x v="1"/>
    <x v="11"/>
    <x v="2"/>
    <m/>
    <m/>
    <x v="1"/>
    <x v="4"/>
    <m/>
    <m/>
    <m/>
    <m/>
    <x v="2"/>
  </r>
  <r>
    <x v="472"/>
    <x v="0"/>
    <x v="1"/>
    <x v="21"/>
    <x v="2"/>
    <m/>
    <m/>
    <x v="1"/>
    <x v="3"/>
    <m/>
    <m/>
    <m/>
    <m/>
    <x v="2"/>
  </r>
  <r>
    <x v="473"/>
    <x v="2"/>
    <x v="0"/>
    <x v="6"/>
    <x v="22"/>
    <d v="2025-10-23T00:00:00"/>
    <d v="2025-10-26T00:00:00"/>
    <x v="0"/>
    <x v="0"/>
    <d v="2025-11-12T00:00:00"/>
    <n v="3"/>
    <n v="4"/>
    <n v="3"/>
    <x v="1"/>
  </r>
  <r>
    <x v="474"/>
    <x v="2"/>
    <x v="1"/>
    <x v="9"/>
    <x v="2"/>
    <m/>
    <m/>
    <x v="1"/>
    <x v="5"/>
    <m/>
    <m/>
    <m/>
    <m/>
    <x v="2"/>
  </r>
  <r>
    <x v="475"/>
    <x v="2"/>
    <x v="0"/>
    <x v="1"/>
    <x v="19"/>
    <d v="2025-10-17T00:00:00"/>
    <d v="2025-10-22T00:00:00"/>
    <x v="1"/>
    <x v="1"/>
    <m/>
    <n v="2"/>
    <n v="4"/>
    <n v="5"/>
    <x v="2"/>
  </r>
  <r>
    <x v="476"/>
    <x v="0"/>
    <x v="2"/>
    <x v="21"/>
    <x v="22"/>
    <d v="2025-10-24T00:00:00"/>
    <d v="2025-10-29T00:00:00"/>
    <x v="0"/>
    <x v="0"/>
    <d v="2025-11-09T00:00:00"/>
    <n v="1"/>
    <n v="5"/>
    <n v="5"/>
    <x v="0"/>
  </r>
  <r>
    <x v="477"/>
    <x v="0"/>
    <x v="0"/>
    <x v="22"/>
    <x v="28"/>
    <d v="2025-11-02T00:00:00"/>
    <d v="2025-11-04T00:00:00"/>
    <x v="1"/>
    <x v="1"/>
    <m/>
    <n v="3"/>
    <n v="5"/>
    <n v="2"/>
    <x v="2"/>
  </r>
  <r>
    <x v="478"/>
    <x v="0"/>
    <x v="0"/>
    <x v="21"/>
    <x v="22"/>
    <d v="2025-10-21T00:00:00"/>
    <d v="2025-10-24T00:00:00"/>
    <x v="0"/>
    <x v="0"/>
    <d v="2025-11-17T00:00:00"/>
    <n v="1"/>
    <n v="2"/>
    <n v="3"/>
    <x v="11"/>
  </r>
  <r>
    <x v="479"/>
    <x v="0"/>
    <x v="0"/>
    <x v="27"/>
    <x v="24"/>
    <d v="2025-10-20T00:00:00"/>
    <d v="2025-10-25T00:00:00"/>
    <x v="1"/>
    <x v="2"/>
    <m/>
    <n v="3"/>
    <n v="4"/>
    <n v="5"/>
    <x v="2"/>
  </r>
  <r>
    <x v="480"/>
    <x v="2"/>
    <x v="0"/>
    <x v="11"/>
    <x v="7"/>
    <d v="2025-10-19T00:00:00"/>
    <d v="2025-10-26T00:00:00"/>
    <x v="0"/>
    <x v="0"/>
    <d v="2025-11-06T00:00:00"/>
    <n v="2"/>
    <n v="2"/>
    <n v="7"/>
    <x v="0"/>
  </r>
  <r>
    <x v="481"/>
    <x v="2"/>
    <x v="0"/>
    <x v="20"/>
    <x v="10"/>
    <d v="2025-11-04T00:00:00"/>
    <d v="2025-11-10T00:00:00"/>
    <x v="0"/>
    <x v="0"/>
    <d v="2025-12-01T00:00:00"/>
    <n v="2"/>
    <n v="3"/>
    <n v="6"/>
    <x v="1"/>
  </r>
  <r>
    <x v="482"/>
    <x v="1"/>
    <x v="0"/>
    <x v="1"/>
    <x v="20"/>
    <d v="2025-10-14T00:00:00"/>
    <d v="2025-10-16T00:00:00"/>
    <x v="0"/>
    <x v="0"/>
    <d v="2025-11-01T00:00:00"/>
    <n v="1"/>
    <n v="2"/>
    <n v="2"/>
    <x v="7"/>
  </r>
  <r>
    <x v="483"/>
    <x v="1"/>
    <x v="0"/>
    <x v="3"/>
    <x v="4"/>
    <d v="2025-11-03T00:00:00"/>
    <d v="2025-11-09T00:00:00"/>
    <x v="0"/>
    <x v="0"/>
    <d v="2025-11-27T00:00:00"/>
    <n v="3"/>
    <n v="3"/>
    <n v="6"/>
    <x v="7"/>
  </r>
  <r>
    <x v="484"/>
    <x v="0"/>
    <x v="0"/>
    <x v="28"/>
    <x v="17"/>
    <d v="2025-10-12T00:00:00"/>
    <d v="2025-10-14T00:00:00"/>
    <x v="0"/>
    <x v="0"/>
    <d v="2025-11-04T00:00:00"/>
    <n v="4"/>
    <n v="1"/>
    <n v="2"/>
    <x v="5"/>
  </r>
  <r>
    <x v="485"/>
    <x v="3"/>
    <x v="0"/>
    <x v="12"/>
    <x v="0"/>
    <d v="2025-10-29T00:00:00"/>
    <d v="2025-11-02T00:00:00"/>
    <x v="1"/>
    <x v="2"/>
    <m/>
    <n v="2"/>
    <n v="4"/>
    <n v="4"/>
    <x v="2"/>
  </r>
  <r>
    <x v="486"/>
    <x v="3"/>
    <x v="0"/>
    <x v="24"/>
    <x v="20"/>
    <d v="2025-10-15T00:00:00"/>
    <d v="2025-10-19T00:00:00"/>
    <x v="0"/>
    <x v="0"/>
    <d v="2025-11-12T00:00:00"/>
    <n v="4"/>
    <n v="3"/>
    <n v="4"/>
    <x v="3"/>
  </r>
  <r>
    <x v="487"/>
    <x v="2"/>
    <x v="2"/>
    <x v="23"/>
    <x v="18"/>
    <d v="2025-10-24T00:00:00"/>
    <d v="2025-10-27T00:00:00"/>
    <x v="0"/>
    <x v="0"/>
    <d v="2025-11-22T00:00:00"/>
    <n v="4"/>
    <n v="1"/>
    <n v="3"/>
    <x v="8"/>
  </r>
  <r>
    <x v="488"/>
    <x v="2"/>
    <x v="0"/>
    <x v="27"/>
    <x v="3"/>
    <d v="2025-10-23T00:00:00"/>
    <d v="2025-10-28T00:00:00"/>
    <x v="0"/>
    <x v="0"/>
    <d v="2025-11-19T00:00:00"/>
    <n v="5"/>
    <n v="5"/>
    <n v="5"/>
    <x v="7"/>
  </r>
  <r>
    <x v="489"/>
    <x v="2"/>
    <x v="2"/>
    <x v="24"/>
    <x v="27"/>
    <d v="2025-10-11T00:00:00"/>
    <d v="2025-10-17T00:00:00"/>
    <x v="0"/>
    <x v="0"/>
    <d v="2025-11-16T00:00:00"/>
    <n v="1"/>
    <n v="2"/>
    <n v="6"/>
    <x v="0"/>
  </r>
  <r>
    <x v="490"/>
    <x v="1"/>
    <x v="0"/>
    <x v="3"/>
    <x v="23"/>
    <d v="2025-10-30T00:00:00"/>
    <d v="2025-11-04T00:00:00"/>
    <x v="0"/>
    <x v="0"/>
    <d v="2025-11-17T00:00:00"/>
    <n v="1"/>
    <n v="1"/>
    <n v="5"/>
    <x v="3"/>
  </r>
  <r>
    <x v="491"/>
    <x v="1"/>
    <x v="0"/>
    <x v="22"/>
    <x v="25"/>
    <d v="2025-10-29T00:00:00"/>
    <d v="2025-11-02T00:00:00"/>
    <x v="1"/>
    <x v="1"/>
    <m/>
    <n v="1"/>
    <n v="3"/>
    <n v="4"/>
    <x v="2"/>
  </r>
  <r>
    <x v="492"/>
    <x v="2"/>
    <x v="0"/>
    <x v="4"/>
    <x v="7"/>
    <d v="2025-10-21T00:00:00"/>
    <d v="2025-10-27T00:00:00"/>
    <x v="0"/>
    <x v="0"/>
    <d v="2025-11-06T00:00:00"/>
    <n v="3"/>
    <n v="4"/>
    <n v="6"/>
    <x v="9"/>
  </r>
  <r>
    <x v="493"/>
    <x v="2"/>
    <x v="0"/>
    <x v="30"/>
    <x v="26"/>
    <d v="2025-10-09T00:00:00"/>
    <d v="2025-10-16T00:00:00"/>
    <x v="0"/>
    <x v="0"/>
    <d v="2025-11-02T00:00:00"/>
    <n v="2"/>
    <n v="5"/>
    <n v="7"/>
    <x v="10"/>
  </r>
  <r>
    <x v="494"/>
    <x v="2"/>
    <x v="1"/>
    <x v="1"/>
    <x v="2"/>
    <m/>
    <m/>
    <x v="1"/>
    <x v="5"/>
    <m/>
    <m/>
    <m/>
    <m/>
    <x v="2"/>
  </r>
  <r>
    <x v="495"/>
    <x v="3"/>
    <x v="1"/>
    <x v="15"/>
    <x v="2"/>
    <m/>
    <m/>
    <x v="1"/>
    <x v="4"/>
    <m/>
    <m/>
    <m/>
    <m/>
    <x v="2"/>
  </r>
  <r>
    <x v="496"/>
    <x v="1"/>
    <x v="1"/>
    <x v="6"/>
    <x v="2"/>
    <m/>
    <m/>
    <x v="1"/>
    <x v="4"/>
    <m/>
    <m/>
    <m/>
    <m/>
    <x v="2"/>
  </r>
  <r>
    <x v="497"/>
    <x v="3"/>
    <x v="1"/>
    <x v="12"/>
    <x v="2"/>
    <m/>
    <m/>
    <x v="1"/>
    <x v="5"/>
    <m/>
    <m/>
    <m/>
    <m/>
    <x v="2"/>
  </r>
  <r>
    <x v="498"/>
    <x v="3"/>
    <x v="2"/>
    <x v="20"/>
    <x v="10"/>
    <d v="2025-11-06T00:00:00"/>
    <d v="2025-11-09T00:00:00"/>
    <x v="0"/>
    <x v="0"/>
    <d v="2025-11-30T00:00:00"/>
    <n v="2"/>
    <n v="5"/>
    <n v="3"/>
    <x v="1"/>
  </r>
  <r>
    <x v="499"/>
    <x v="2"/>
    <x v="2"/>
    <x v="19"/>
    <x v="4"/>
    <d v="2025-11-01T00:00:00"/>
    <d v="2025-11-06T00:00:00"/>
    <x v="0"/>
    <x v="0"/>
    <d v="2025-12-01T00:00:00"/>
    <n v="5"/>
    <n v="1"/>
    <n v="5"/>
    <x v="11"/>
  </r>
  <r>
    <x v="500"/>
    <x v="2"/>
    <x v="0"/>
    <x v="27"/>
    <x v="3"/>
    <d v="2025-10-19T00:00:00"/>
    <d v="2025-10-21T00:00:00"/>
    <x v="0"/>
    <x v="0"/>
    <d v="2025-11-19T00:00:00"/>
    <n v="5"/>
    <n v="1"/>
    <n v="2"/>
    <x v="3"/>
  </r>
  <r>
    <x v="501"/>
    <x v="0"/>
    <x v="2"/>
    <x v="27"/>
    <x v="3"/>
    <d v="2025-10-20T00:00:00"/>
    <d v="2025-10-22T00:00:00"/>
    <x v="0"/>
    <x v="0"/>
    <d v="2025-11-15T00:00:00"/>
    <n v="5"/>
    <n v="2"/>
    <n v="2"/>
    <x v="8"/>
  </r>
  <r>
    <x v="502"/>
    <x v="0"/>
    <x v="0"/>
    <x v="26"/>
    <x v="25"/>
    <d v="2025-10-31T00:00:00"/>
    <d v="2025-11-06T00:00:00"/>
    <x v="0"/>
    <x v="0"/>
    <d v="2025-11-21T00:00:00"/>
    <n v="4"/>
    <n v="5"/>
    <n v="6"/>
    <x v="7"/>
  </r>
  <r>
    <x v="503"/>
    <x v="3"/>
    <x v="0"/>
    <x v="19"/>
    <x v="12"/>
    <d v="2025-11-01T00:00:00"/>
    <d v="2025-11-03T00:00:00"/>
    <x v="0"/>
    <x v="0"/>
    <d v="2025-11-28T00:00:00"/>
    <n v="1"/>
    <n v="5"/>
    <n v="2"/>
    <x v="4"/>
  </r>
  <r>
    <x v="504"/>
    <x v="1"/>
    <x v="0"/>
    <x v="5"/>
    <x v="11"/>
    <d v="2025-11-01T00:00:00"/>
    <d v="2025-11-03T00:00:00"/>
    <x v="0"/>
    <x v="0"/>
    <d v="2025-12-01T00:00:00"/>
    <n v="3"/>
    <n v="2"/>
    <n v="2"/>
    <x v="10"/>
  </r>
  <r>
    <x v="505"/>
    <x v="2"/>
    <x v="0"/>
    <x v="0"/>
    <x v="18"/>
    <d v="2025-10-27T00:00:00"/>
    <d v="2025-10-31T00:00:00"/>
    <x v="0"/>
    <x v="0"/>
    <d v="2025-11-27T00:00:00"/>
    <n v="2"/>
    <n v="4"/>
    <n v="4"/>
    <x v="4"/>
  </r>
  <r>
    <x v="506"/>
    <x v="2"/>
    <x v="0"/>
    <x v="13"/>
    <x v="30"/>
    <d v="2025-10-10T00:00:00"/>
    <d v="2025-10-13T00:00:00"/>
    <x v="0"/>
    <x v="0"/>
    <d v="2025-11-03T00:00:00"/>
    <n v="3"/>
    <n v="2"/>
    <n v="3"/>
    <x v="7"/>
  </r>
  <r>
    <x v="507"/>
    <x v="3"/>
    <x v="0"/>
    <x v="6"/>
    <x v="7"/>
    <d v="2025-10-20T00:00:00"/>
    <d v="2025-10-22T00:00:00"/>
    <x v="0"/>
    <x v="0"/>
    <d v="2025-11-12T00:00:00"/>
    <n v="1"/>
    <n v="3"/>
    <n v="2"/>
    <x v="7"/>
  </r>
  <r>
    <x v="508"/>
    <x v="0"/>
    <x v="1"/>
    <x v="8"/>
    <x v="2"/>
    <m/>
    <m/>
    <x v="1"/>
    <x v="4"/>
    <m/>
    <m/>
    <m/>
    <m/>
    <x v="2"/>
  </r>
  <r>
    <x v="509"/>
    <x v="1"/>
    <x v="0"/>
    <x v="30"/>
    <x v="33"/>
    <d v="2025-10-06T00:00:00"/>
    <d v="2025-10-08T00:00:00"/>
    <x v="0"/>
    <x v="0"/>
    <d v="2025-10-23T00:00:00"/>
    <n v="1"/>
    <n v="3"/>
    <n v="2"/>
    <x v="11"/>
  </r>
  <r>
    <x v="510"/>
    <x v="0"/>
    <x v="1"/>
    <x v="13"/>
    <x v="2"/>
    <m/>
    <m/>
    <x v="1"/>
    <x v="3"/>
    <m/>
    <m/>
    <m/>
    <m/>
    <x v="2"/>
  </r>
  <r>
    <x v="511"/>
    <x v="0"/>
    <x v="2"/>
    <x v="16"/>
    <x v="22"/>
    <d v="2025-10-20T00:00:00"/>
    <d v="2025-10-25T00:00:00"/>
    <x v="0"/>
    <x v="0"/>
    <d v="2025-11-12T00:00:00"/>
    <n v="2"/>
    <n v="1"/>
    <n v="5"/>
    <x v="11"/>
  </r>
  <r>
    <x v="512"/>
    <x v="0"/>
    <x v="1"/>
    <x v="8"/>
    <x v="2"/>
    <m/>
    <m/>
    <x v="1"/>
    <x v="1"/>
    <m/>
    <m/>
    <m/>
    <m/>
    <x v="2"/>
  </r>
  <r>
    <x v="513"/>
    <x v="0"/>
    <x v="0"/>
    <x v="23"/>
    <x v="18"/>
    <d v="2025-10-25T00:00:00"/>
    <d v="2025-10-31T00:00:00"/>
    <x v="0"/>
    <x v="0"/>
    <d v="2025-11-12T00:00:00"/>
    <n v="4"/>
    <n v="2"/>
    <n v="6"/>
    <x v="9"/>
  </r>
  <r>
    <x v="514"/>
    <x v="2"/>
    <x v="0"/>
    <x v="1"/>
    <x v="24"/>
    <d v="2025-10-18T00:00:00"/>
    <d v="2025-10-22T00:00:00"/>
    <x v="0"/>
    <x v="0"/>
    <d v="2025-11-10T00:00:00"/>
    <n v="5"/>
    <n v="2"/>
    <n v="4"/>
    <x v="7"/>
  </r>
  <r>
    <x v="515"/>
    <x v="2"/>
    <x v="2"/>
    <x v="3"/>
    <x v="10"/>
    <d v="2025-11-02T00:00:00"/>
    <d v="2025-11-09T00:00:00"/>
    <x v="1"/>
    <x v="1"/>
    <m/>
    <n v="4"/>
    <n v="1"/>
    <n v="7"/>
    <x v="2"/>
  </r>
  <r>
    <x v="516"/>
    <x v="0"/>
    <x v="0"/>
    <x v="7"/>
    <x v="6"/>
    <d v="2025-10-09T00:00:00"/>
    <d v="2025-10-16T00:00:00"/>
    <x v="0"/>
    <x v="0"/>
    <d v="2025-10-26T00:00:00"/>
    <n v="1"/>
    <n v="4"/>
    <n v="7"/>
    <x v="0"/>
  </r>
  <r>
    <x v="517"/>
    <x v="1"/>
    <x v="2"/>
    <x v="3"/>
    <x v="23"/>
    <d v="2025-10-31T00:00:00"/>
    <d v="2025-11-06T00:00:00"/>
    <x v="0"/>
    <x v="0"/>
    <d v="2025-11-28T00:00:00"/>
    <n v="1"/>
    <n v="2"/>
    <n v="6"/>
    <x v="10"/>
  </r>
  <r>
    <x v="518"/>
    <x v="3"/>
    <x v="2"/>
    <x v="3"/>
    <x v="10"/>
    <d v="2025-11-06T00:00:00"/>
    <d v="2025-11-11T00:00:00"/>
    <x v="0"/>
    <x v="0"/>
    <d v="2025-11-22T00:00:00"/>
    <n v="4"/>
    <n v="5"/>
    <n v="5"/>
    <x v="4"/>
  </r>
  <r>
    <x v="519"/>
    <x v="1"/>
    <x v="0"/>
    <x v="11"/>
    <x v="5"/>
    <d v="2025-10-22T00:00:00"/>
    <d v="2025-10-27T00:00:00"/>
    <x v="0"/>
    <x v="0"/>
    <d v="2025-11-11T00:00:00"/>
    <n v="5"/>
    <n v="2"/>
    <n v="5"/>
    <x v="5"/>
  </r>
  <r>
    <x v="520"/>
    <x v="1"/>
    <x v="0"/>
    <x v="7"/>
    <x v="27"/>
    <d v="2025-10-13T00:00:00"/>
    <d v="2025-10-20T00:00:00"/>
    <x v="0"/>
    <x v="0"/>
    <d v="2025-11-17T00:00:00"/>
    <n v="5"/>
    <n v="4"/>
    <n v="7"/>
    <x v="11"/>
  </r>
  <r>
    <x v="521"/>
    <x v="1"/>
    <x v="0"/>
    <x v="16"/>
    <x v="3"/>
    <d v="2025-10-20T00:00:00"/>
    <d v="2025-10-25T00:00:00"/>
    <x v="0"/>
    <x v="0"/>
    <d v="2025-11-10T00:00:00"/>
    <n v="1"/>
    <n v="2"/>
    <n v="5"/>
    <x v="8"/>
  </r>
  <r>
    <x v="522"/>
    <x v="0"/>
    <x v="1"/>
    <x v="20"/>
    <x v="2"/>
    <m/>
    <m/>
    <x v="1"/>
    <x v="5"/>
    <m/>
    <m/>
    <m/>
    <m/>
    <x v="2"/>
  </r>
  <r>
    <x v="523"/>
    <x v="2"/>
    <x v="0"/>
    <x v="11"/>
    <x v="5"/>
    <d v="2025-10-25T00:00:00"/>
    <d v="2025-10-27T00:00:00"/>
    <x v="0"/>
    <x v="0"/>
    <d v="2025-11-13T00:00:00"/>
    <n v="5"/>
    <n v="5"/>
    <n v="2"/>
    <x v="8"/>
  </r>
  <r>
    <x v="524"/>
    <x v="1"/>
    <x v="0"/>
    <x v="2"/>
    <x v="13"/>
    <d v="2025-10-09T00:00:00"/>
    <d v="2025-10-16T00:00:00"/>
    <x v="0"/>
    <x v="0"/>
    <d v="2025-11-15T00:00:00"/>
    <n v="5"/>
    <n v="3"/>
    <n v="7"/>
    <x v="1"/>
  </r>
  <r>
    <x v="525"/>
    <x v="0"/>
    <x v="2"/>
    <x v="15"/>
    <x v="25"/>
    <d v="2025-10-29T00:00:00"/>
    <d v="2025-11-04T00:00:00"/>
    <x v="0"/>
    <x v="0"/>
    <d v="2025-11-21T00:00:00"/>
    <n v="2"/>
    <n v="3"/>
    <n v="6"/>
    <x v="1"/>
  </r>
  <r>
    <x v="526"/>
    <x v="1"/>
    <x v="0"/>
    <x v="13"/>
    <x v="15"/>
    <d v="2025-10-11T00:00:00"/>
    <d v="2025-10-17T00:00:00"/>
    <x v="0"/>
    <x v="0"/>
    <d v="2025-11-02T00:00:00"/>
    <n v="2"/>
    <n v="4"/>
    <n v="6"/>
    <x v="5"/>
  </r>
  <r>
    <x v="527"/>
    <x v="1"/>
    <x v="0"/>
    <x v="4"/>
    <x v="7"/>
    <d v="2025-10-21T00:00:00"/>
    <d v="2025-10-27T00:00:00"/>
    <x v="0"/>
    <x v="0"/>
    <d v="2025-11-14T00:00:00"/>
    <n v="3"/>
    <n v="4"/>
    <n v="6"/>
    <x v="8"/>
  </r>
  <r>
    <x v="528"/>
    <x v="0"/>
    <x v="1"/>
    <x v="3"/>
    <x v="2"/>
    <m/>
    <m/>
    <x v="1"/>
    <x v="4"/>
    <m/>
    <m/>
    <m/>
    <m/>
    <x v="2"/>
  </r>
  <r>
    <x v="529"/>
    <x v="2"/>
    <x v="1"/>
    <x v="0"/>
    <x v="2"/>
    <m/>
    <m/>
    <x v="1"/>
    <x v="2"/>
    <m/>
    <m/>
    <m/>
    <m/>
    <x v="2"/>
  </r>
  <r>
    <x v="530"/>
    <x v="2"/>
    <x v="0"/>
    <x v="13"/>
    <x v="27"/>
    <d v="2025-10-14T00:00:00"/>
    <d v="2025-10-17T00:00:00"/>
    <x v="0"/>
    <x v="0"/>
    <d v="2025-11-16T00:00:00"/>
    <n v="4"/>
    <n v="5"/>
    <n v="3"/>
    <x v="0"/>
  </r>
  <r>
    <x v="531"/>
    <x v="3"/>
    <x v="2"/>
    <x v="25"/>
    <x v="26"/>
    <d v="2025-10-07T00:00:00"/>
    <d v="2025-10-11T00:00:00"/>
    <x v="0"/>
    <x v="0"/>
    <d v="2025-11-03T00:00:00"/>
    <n v="1"/>
    <n v="3"/>
    <n v="4"/>
    <x v="0"/>
  </r>
  <r>
    <x v="532"/>
    <x v="0"/>
    <x v="1"/>
    <x v="6"/>
    <x v="2"/>
    <m/>
    <m/>
    <x v="1"/>
    <x v="2"/>
    <m/>
    <m/>
    <m/>
    <m/>
    <x v="2"/>
  </r>
  <r>
    <x v="533"/>
    <x v="3"/>
    <x v="0"/>
    <x v="19"/>
    <x v="4"/>
    <d v="2025-11-03T00:00:00"/>
    <d v="2025-11-05T00:00:00"/>
    <x v="0"/>
    <x v="0"/>
    <d v="2025-12-01T00:00:00"/>
    <n v="5"/>
    <n v="3"/>
    <n v="2"/>
    <x v="10"/>
  </r>
  <r>
    <x v="534"/>
    <x v="3"/>
    <x v="2"/>
    <x v="17"/>
    <x v="20"/>
    <d v="2025-10-15T00:00:00"/>
    <d v="2025-10-19T00:00:00"/>
    <x v="0"/>
    <x v="0"/>
    <d v="2025-10-29T00:00:00"/>
    <n v="3"/>
    <n v="3"/>
    <n v="4"/>
    <x v="6"/>
  </r>
  <r>
    <x v="535"/>
    <x v="3"/>
    <x v="2"/>
    <x v="1"/>
    <x v="19"/>
    <d v="2025-10-16T00:00:00"/>
    <d v="2025-10-18T00:00:00"/>
    <x v="1"/>
    <x v="4"/>
    <m/>
    <n v="2"/>
    <n v="3"/>
    <n v="2"/>
    <x v="2"/>
  </r>
  <r>
    <x v="536"/>
    <x v="2"/>
    <x v="0"/>
    <x v="18"/>
    <x v="0"/>
    <d v="2025-10-30T00:00:00"/>
    <d v="2025-11-05T00:00:00"/>
    <x v="0"/>
    <x v="0"/>
    <d v="2025-11-15T00:00:00"/>
    <n v="5"/>
    <n v="5"/>
    <n v="6"/>
    <x v="6"/>
  </r>
  <r>
    <x v="537"/>
    <x v="0"/>
    <x v="2"/>
    <x v="12"/>
    <x v="12"/>
    <d v="2025-10-31T00:00:00"/>
    <d v="2025-11-03T00:00:00"/>
    <x v="0"/>
    <x v="0"/>
    <d v="2025-11-28T00:00:00"/>
    <n v="4"/>
    <n v="4"/>
    <n v="3"/>
    <x v="9"/>
  </r>
  <r>
    <x v="538"/>
    <x v="3"/>
    <x v="1"/>
    <x v="27"/>
    <x v="2"/>
    <m/>
    <m/>
    <x v="1"/>
    <x v="2"/>
    <m/>
    <m/>
    <m/>
    <m/>
    <x v="2"/>
  </r>
  <r>
    <x v="539"/>
    <x v="0"/>
    <x v="0"/>
    <x v="0"/>
    <x v="18"/>
    <d v="2025-10-27T00:00:00"/>
    <d v="2025-10-30T00:00:00"/>
    <x v="1"/>
    <x v="5"/>
    <m/>
    <n v="2"/>
    <n v="4"/>
    <n v="3"/>
    <x v="2"/>
  </r>
  <r>
    <x v="540"/>
    <x v="0"/>
    <x v="2"/>
    <x v="25"/>
    <x v="26"/>
    <d v="2025-10-05T00:00:00"/>
    <d v="2025-10-11T00:00:00"/>
    <x v="0"/>
    <x v="0"/>
    <d v="2025-10-25T00:00:00"/>
    <n v="1"/>
    <n v="1"/>
    <n v="6"/>
    <x v="3"/>
  </r>
  <r>
    <x v="541"/>
    <x v="2"/>
    <x v="1"/>
    <x v="3"/>
    <x v="2"/>
    <m/>
    <m/>
    <x v="1"/>
    <x v="5"/>
    <m/>
    <m/>
    <m/>
    <m/>
    <x v="2"/>
  </r>
  <r>
    <x v="542"/>
    <x v="3"/>
    <x v="0"/>
    <x v="1"/>
    <x v="24"/>
    <d v="2025-10-20T00:00:00"/>
    <d v="2025-10-24T00:00:00"/>
    <x v="0"/>
    <x v="0"/>
    <d v="2025-11-23T00:00:00"/>
    <n v="5"/>
    <n v="4"/>
    <n v="4"/>
    <x v="3"/>
  </r>
  <r>
    <x v="543"/>
    <x v="3"/>
    <x v="0"/>
    <x v="3"/>
    <x v="4"/>
    <d v="2025-11-03T00:00:00"/>
    <d v="2025-11-08T00:00:00"/>
    <x v="0"/>
    <x v="0"/>
    <d v="2025-11-23T00:00:00"/>
    <n v="3"/>
    <n v="3"/>
    <n v="5"/>
    <x v="8"/>
  </r>
  <r>
    <x v="544"/>
    <x v="0"/>
    <x v="2"/>
    <x v="26"/>
    <x v="18"/>
    <d v="2025-10-25T00:00:00"/>
    <d v="2025-10-31T00:00:00"/>
    <x v="0"/>
    <x v="0"/>
    <d v="2025-11-29T00:00:00"/>
    <n v="1"/>
    <n v="2"/>
    <n v="6"/>
    <x v="10"/>
  </r>
  <r>
    <x v="545"/>
    <x v="1"/>
    <x v="2"/>
    <x v="3"/>
    <x v="34"/>
    <d v="2025-11-05T00:00:00"/>
    <d v="2025-11-12T00:00:00"/>
    <x v="0"/>
    <x v="0"/>
    <d v="2025-11-22T00:00:00"/>
    <n v="5"/>
    <n v="3"/>
    <n v="7"/>
    <x v="5"/>
  </r>
  <r>
    <x v="546"/>
    <x v="2"/>
    <x v="0"/>
    <x v="21"/>
    <x v="18"/>
    <d v="2025-10-26T00:00:00"/>
    <d v="2025-11-02T00:00:00"/>
    <x v="0"/>
    <x v="0"/>
    <d v="2025-11-19T00:00:00"/>
    <n v="5"/>
    <n v="3"/>
    <n v="7"/>
    <x v="9"/>
  </r>
  <r>
    <x v="547"/>
    <x v="2"/>
    <x v="0"/>
    <x v="27"/>
    <x v="3"/>
    <d v="2025-10-22T00:00:00"/>
    <d v="2025-10-29T00:00:00"/>
    <x v="0"/>
    <x v="0"/>
    <d v="2025-11-16T00:00:00"/>
    <n v="5"/>
    <n v="4"/>
    <n v="7"/>
    <x v="8"/>
  </r>
  <r>
    <x v="548"/>
    <x v="2"/>
    <x v="0"/>
    <x v="8"/>
    <x v="32"/>
    <d v="2025-11-06T00:00:00"/>
    <d v="2025-11-13T00:00:00"/>
    <x v="0"/>
    <x v="0"/>
    <d v="2025-12-12T00:00:00"/>
    <n v="5"/>
    <n v="1"/>
    <n v="7"/>
    <x v="5"/>
  </r>
  <r>
    <x v="549"/>
    <x v="2"/>
    <x v="0"/>
    <x v="1"/>
    <x v="24"/>
    <d v="2025-10-21T00:00:00"/>
    <d v="2025-10-23T00:00:00"/>
    <x v="0"/>
    <x v="0"/>
    <d v="2025-11-11T00:00:00"/>
    <n v="5"/>
    <n v="5"/>
    <n v="2"/>
    <x v="7"/>
  </r>
  <r>
    <x v="550"/>
    <x v="3"/>
    <x v="0"/>
    <x v="0"/>
    <x v="31"/>
    <d v="2025-10-24T00:00:00"/>
    <d v="2025-10-28T00:00:00"/>
    <x v="0"/>
    <x v="0"/>
    <d v="2025-11-27T00:00:00"/>
    <n v="1"/>
    <n v="2"/>
    <n v="4"/>
    <x v="9"/>
  </r>
  <r>
    <x v="551"/>
    <x v="3"/>
    <x v="2"/>
    <x v="12"/>
    <x v="12"/>
    <d v="2025-10-29T00:00:00"/>
    <d v="2025-11-05T00:00:00"/>
    <x v="0"/>
    <x v="0"/>
    <d v="2025-11-23T00:00:00"/>
    <n v="4"/>
    <n v="2"/>
    <n v="7"/>
    <x v="9"/>
  </r>
  <r>
    <x v="552"/>
    <x v="1"/>
    <x v="0"/>
    <x v="10"/>
    <x v="34"/>
    <d v="2025-11-03T00:00:00"/>
    <d v="2025-11-08T00:00:00"/>
    <x v="0"/>
    <x v="0"/>
    <d v="2025-12-01T00:00:00"/>
    <n v="4"/>
    <n v="1"/>
    <n v="5"/>
    <x v="3"/>
  </r>
  <r>
    <x v="553"/>
    <x v="2"/>
    <x v="1"/>
    <x v="22"/>
    <x v="2"/>
    <m/>
    <m/>
    <x v="1"/>
    <x v="4"/>
    <m/>
    <m/>
    <m/>
    <m/>
    <x v="2"/>
  </r>
  <r>
    <x v="554"/>
    <x v="2"/>
    <x v="0"/>
    <x v="6"/>
    <x v="7"/>
    <d v="2025-10-20T00:00:00"/>
    <d v="2025-10-27T00:00:00"/>
    <x v="0"/>
    <x v="0"/>
    <d v="2025-11-18T00:00:00"/>
    <n v="1"/>
    <n v="3"/>
    <n v="7"/>
    <x v="0"/>
  </r>
  <r>
    <x v="555"/>
    <x v="0"/>
    <x v="0"/>
    <x v="3"/>
    <x v="10"/>
    <d v="2025-11-06T00:00:00"/>
    <d v="2025-11-09T00:00:00"/>
    <x v="0"/>
    <x v="0"/>
    <d v="2025-11-30T00:00:00"/>
    <n v="4"/>
    <n v="5"/>
    <n v="3"/>
    <x v="1"/>
  </r>
  <r>
    <x v="556"/>
    <x v="3"/>
    <x v="2"/>
    <x v="21"/>
    <x v="16"/>
    <d v="2025-10-26T00:00:00"/>
    <d v="2025-10-28T00:00:00"/>
    <x v="0"/>
    <x v="0"/>
    <d v="2025-11-21T00:00:00"/>
    <n v="3"/>
    <n v="5"/>
    <n v="2"/>
    <x v="10"/>
  </r>
  <r>
    <x v="557"/>
    <x v="2"/>
    <x v="0"/>
    <x v="30"/>
    <x v="6"/>
    <d v="2025-10-10T00:00:00"/>
    <d v="2025-10-13T00:00:00"/>
    <x v="0"/>
    <x v="0"/>
    <d v="2025-10-31T00:00:00"/>
    <n v="3"/>
    <n v="5"/>
    <n v="3"/>
    <x v="0"/>
  </r>
  <r>
    <x v="558"/>
    <x v="1"/>
    <x v="0"/>
    <x v="18"/>
    <x v="16"/>
    <d v="2025-10-25T00:00:00"/>
    <d v="2025-10-27T00:00:00"/>
    <x v="0"/>
    <x v="0"/>
    <d v="2025-11-12T00:00:00"/>
    <n v="1"/>
    <n v="4"/>
    <n v="2"/>
    <x v="5"/>
  </r>
  <r>
    <x v="559"/>
    <x v="1"/>
    <x v="1"/>
    <x v="25"/>
    <x v="2"/>
    <m/>
    <m/>
    <x v="1"/>
    <x v="2"/>
    <m/>
    <m/>
    <m/>
    <m/>
    <x v="2"/>
  </r>
  <r>
    <x v="560"/>
    <x v="3"/>
    <x v="0"/>
    <x v="24"/>
    <x v="17"/>
    <d v="2025-10-14T00:00:00"/>
    <d v="2025-10-19T00:00:00"/>
    <x v="0"/>
    <x v="0"/>
    <d v="2025-11-12T00:00:00"/>
    <n v="3"/>
    <n v="3"/>
    <n v="5"/>
    <x v="5"/>
  </r>
  <r>
    <x v="561"/>
    <x v="1"/>
    <x v="1"/>
    <x v="0"/>
    <x v="2"/>
    <m/>
    <m/>
    <x v="1"/>
    <x v="5"/>
    <m/>
    <m/>
    <m/>
    <m/>
    <x v="2"/>
  </r>
  <r>
    <x v="562"/>
    <x v="1"/>
    <x v="0"/>
    <x v="26"/>
    <x v="18"/>
    <d v="2025-10-25T00:00:00"/>
    <d v="2025-10-27T00:00:00"/>
    <x v="0"/>
    <x v="0"/>
    <d v="2025-11-15T00:00:00"/>
    <n v="1"/>
    <n v="2"/>
    <n v="2"/>
    <x v="10"/>
  </r>
  <r>
    <x v="563"/>
    <x v="3"/>
    <x v="2"/>
    <x v="20"/>
    <x v="34"/>
    <d v="2025-11-04T00:00:00"/>
    <d v="2025-11-09T00:00:00"/>
    <x v="0"/>
    <x v="0"/>
    <d v="2025-12-05T00:00:00"/>
    <n v="3"/>
    <n v="2"/>
    <n v="5"/>
    <x v="9"/>
  </r>
  <r>
    <x v="564"/>
    <x v="2"/>
    <x v="0"/>
    <x v="29"/>
    <x v="20"/>
    <d v="2025-10-15T00:00:00"/>
    <d v="2025-10-21T00:00:00"/>
    <x v="0"/>
    <x v="0"/>
    <d v="2025-11-19T00:00:00"/>
    <n v="2"/>
    <n v="3"/>
    <n v="6"/>
    <x v="8"/>
  </r>
  <r>
    <x v="565"/>
    <x v="2"/>
    <x v="2"/>
    <x v="24"/>
    <x v="27"/>
    <d v="2025-10-11T00:00:00"/>
    <d v="2025-10-17T00:00:00"/>
    <x v="0"/>
    <x v="0"/>
    <d v="2025-11-08T00:00:00"/>
    <n v="1"/>
    <n v="2"/>
    <n v="6"/>
    <x v="7"/>
  </r>
  <r>
    <x v="566"/>
    <x v="1"/>
    <x v="2"/>
    <x v="15"/>
    <x v="23"/>
    <d v="2025-11-02T00:00:00"/>
    <d v="2025-11-04T00:00:00"/>
    <x v="0"/>
    <x v="0"/>
    <d v="2025-12-02T00:00:00"/>
    <n v="5"/>
    <n v="4"/>
    <n v="2"/>
    <x v="9"/>
  </r>
  <r>
    <x v="567"/>
    <x v="1"/>
    <x v="1"/>
    <x v="25"/>
    <x v="2"/>
    <m/>
    <m/>
    <x v="1"/>
    <x v="5"/>
    <m/>
    <m/>
    <m/>
    <m/>
    <x v="2"/>
  </r>
  <r>
    <x v="568"/>
    <x v="2"/>
    <x v="0"/>
    <x v="4"/>
    <x v="7"/>
    <d v="2025-10-22T00:00:00"/>
    <d v="2025-10-26T00:00:00"/>
    <x v="0"/>
    <x v="0"/>
    <d v="2025-11-08T00:00:00"/>
    <n v="3"/>
    <n v="5"/>
    <n v="4"/>
    <x v="3"/>
  </r>
  <r>
    <x v="569"/>
    <x v="3"/>
    <x v="0"/>
    <x v="7"/>
    <x v="13"/>
    <d v="2025-10-08T00:00:00"/>
    <d v="2025-10-15T00:00:00"/>
    <x v="0"/>
    <x v="0"/>
    <d v="2025-10-25T00:00:00"/>
    <n v="2"/>
    <n v="2"/>
    <n v="7"/>
    <x v="8"/>
  </r>
  <r>
    <x v="570"/>
    <x v="1"/>
    <x v="2"/>
    <x v="22"/>
    <x v="25"/>
    <d v="2025-10-30T00:00:00"/>
    <d v="2025-11-06T00:00:00"/>
    <x v="0"/>
    <x v="0"/>
    <d v="2025-12-02T00:00:00"/>
    <n v="1"/>
    <n v="4"/>
    <n v="7"/>
    <x v="3"/>
  </r>
  <r>
    <x v="571"/>
    <x v="0"/>
    <x v="0"/>
    <x v="0"/>
    <x v="9"/>
    <d v="2025-10-29T00:00:00"/>
    <d v="2025-11-05T00:00:00"/>
    <x v="0"/>
    <x v="0"/>
    <d v="2025-11-26T00:00:00"/>
    <n v="3"/>
    <n v="5"/>
    <n v="7"/>
    <x v="0"/>
  </r>
  <r>
    <x v="572"/>
    <x v="3"/>
    <x v="2"/>
    <x v="12"/>
    <x v="28"/>
    <d v="2025-10-31T00:00:00"/>
    <d v="2025-11-07T00:00:00"/>
    <x v="0"/>
    <x v="0"/>
    <d v="2025-12-04T00:00:00"/>
    <n v="5"/>
    <n v="3"/>
    <n v="7"/>
    <x v="10"/>
  </r>
  <r>
    <x v="573"/>
    <x v="1"/>
    <x v="2"/>
    <x v="3"/>
    <x v="4"/>
    <d v="2025-11-03T00:00:00"/>
    <d v="2025-11-06T00:00:00"/>
    <x v="0"/>
    <x v="0"/>
    <d v="2025-12-06T00:00:00"/>
    <n v="3"/>
    <n v="3"/>
    <n v="3"/>
    <x v="11"/>
  </r>
  <r>
    <x v="574"/>
    <x v="1"/>
    <x v="0"/>
    <x v="7"/>
    <x v="13"/>
    <d v="2025-10-10T00:00:00"/>
    <d v="2025-10-12T00:00:00"/>
    <x v="0"/>
    <x v="0"/>
    <d v="2025-11-10T00:00:00"/>
    <n v="2"/>
    <n v="4"/>
    <n v="2"/>
    <x v="6"/>
  </r>
  <r>
    <x v="575"/>
    <x v="0"/>
    <x v="2"/>
    <x v="11"/>
    <x v="22"/>
    <d v="2025-10-23T00:00:00"/>
    <d v="2025-10-25T00:00:00"/>
    <x v="0"/>
    <x v="0"/>
    <d v="2025-11-23T00:00:00"/>
    <n v="4"/>
    <n v="4"/>
    <n v="2"/>
    <x v="4"/>
  </r>
  <r>
    <x v="576"/>
    <x v="0"/>
    <x v="0"/>
    <x v="14"/>
    <x v="21"/>
    <d v="2025-10-14T00:00:00"/>
    <d v="2025-10-21T00:00:00"/>
    <x v="0"/>
    <x v="0"/>
    <d v="2025-11-09T00:00:00"/>
    <n v="4"/>
    <n v="4"/>
    <n v="7"/>
    <x v="11"/>
  </r>
  <r>
    <x v="577"/>
    <x v="2"/>
    <x v="2"/>
    <x v="12"/>
    <x v="0"/>
    <d v="2025-10-27T00:00:00"/>
    <d v="2025-10-30T00:00:00"/>
    <x v="0"/>
    <x v="0"/>
    <d v="2025-11-18T00:00:00"/>
    <n v="2"/>
    <n v="2"/>
    <n v="3"/>
    <x v="9"/>
  </r>
  <r>
    <x v="578"/>
    <x v="3"/>
    <x v="2"/>
    <x v="29"/>
    <x v="20"/>
    <d v="2025-10-15T00:00:00"/>
    <d v="2025-10-22T00:00:00"/>
    <x v="0"/>
    <x v="0"/>
    <d v="2025-11-04T00:00:00"/>
    <n v="2"/>
    <n v="3"/>
    <n v="7"/>
    <x v="5"/>
  </r>
  <r>
    <x v="579"/>
    <x v="3"/>
    <x v="2"/>
    <x v="10"/>
    <x v="11"/>
    <d v="2025-11-01T00:00:00"/>
    <d v="2025-11-03T00:00:00"/>
    <x v="0"/>
    <x v="0"/>
    <d v="2025-11-28T00:00:00"/>
    <n v="1"/>
    <n v="2"/>
    <n v="2"/>
    <x v="3"/>
  </r>
  <r>
    <x v="580"/>
    <x v="2"/>
    <x v="0"/>
    <x v="2"/>
    <x v="6"/>
    <d v="2025-10-07T00:00:00"/>
    <d v="2025-10-10T00:00:00"/>
    <x v="0"/>
    <x v="0"/>
    <d v="2025-10-22T00:00:00"/>
    <n v="4"/>
    <n v="2"/>
    <n v="3"/>
    <x v="5"/>
  </r>
  <r>
    <x v="581"/>
    <x v="3"/>
    <x v="0"/>
    <x v="30"/>
    <x v="33"/>
    <d v="2025-10-08T00:00:00"/>
    <d v="2025-10-13T00:00:00"/>
    <x v="0"/>
    <x v="0"/>
    <d v="2025-11-02T00:00:00"/>
    <n v="1"/>
    <n v="5"/>
    <n v="5"/>
    <x v="9"/>
  </r>
  <r>
    <x v="582"/>
    <x v="3"/>
    <x v="0"/>
    <x v="1"/>
    <x v="1"/>
    <d v="2025-10-18T00:00:00"/>
    <d v="2025-10-22T00:00:00"/>
    <x v="0"/>
    <x v="0"/>
    <d v="2025-11-09T00:00:00"/>
    <n v="3"/>
    <n v="4"/>
    <n v="4"/>
    <x v="10"/>
  </r>
  <r>
    <x v="583"/>
    <x v="3"/>
    <x v="0"/>
    <x v="19"/>
    <x v="28"/>
    <d v="2025-10-30T00:00:00"/>
    <d v="2025-11-05T00:00:00"/>
    <x v="0"/>
    <x v="0"/>
    <d v="2025-12-05T00:00:00"/>
    <n v="2"/>
    <n v="2"/>
    <n v="6"/>
    <x v="7"/>
  </r>
  <r>
    <x v="584"/>
    <x v="3"/>
    <x v="0"/>
    <x v="30"/>
    <x v="33"/>
    <d v="2025-10-08T00:00:00"/>
    <d v="2025-10-14T00:00:00"/>
    <x v="1"/>
    <x v="3"/>
    <m/>
    <n v="1"/>
    <n v="5"/>
    <n v="6"/>
    <x v="2"/>
  </r>
  <r>
    <x v="585"/>
    <x v="3"/>
    <x v="2"/>
    <x v="29"/>
    <x v="20"/>
    <d v="2025-10-13T00:00:00"/>
    <d v="2025-10-20T00:00:00"/>
    <x v="0"/>
    <x v="0"/>
    <d v="2025-11-09T00:00:00"/>
    <n v="2"/>
    <n v="1"/>
    <n v="7"/>
    <x v="7"/>
  </r>
  <r>
    <x v="586"/>
    <x v="0"/>
    <x v="0"/>
    <x v="9"/>
    <x v="19"/>
    <d v="2025-10-18T00:00:00"/>
    <d v="2025-10-22T00:00:00"/>
    <x v="0"/>
    <x v="0"/>
    <d v="2025-11-09T00:00:00"/>
    <n v="1"/>
    <n v="5"/>
    <n v="4"/>
    <x v="1"/>
  </r>
  <r>
    <x v="587"/>
    <x v="3"/>
    <x v="1"/>
    <x v="9"/>
    <x v="2"/>
    <m/>
    <m/>
    <x v="1"/>
    <x v="3"/>
    <m/>
    <m/>
    <m/>
    <m/>
    <x v="2"/>
  </r>
  <r>
    <x v="588"/>
    <x v="0"/>
    <x v="0"/>
    <x v="4"/>
    <x v="7"/>
    <d v="2025-10-18T00:00:00"/>
    <d v="2025-10-21T00:00:00"/>
    <x v="1"/>
    <x v="5"/>
    <m/>
    <n v="3"/>
    <n v="1"/>
    <n v="3"/>
    <x v="2"/>
  </r>
  <r>
    <x v="589"/>
    <x v="3"/>
    <x v="0"/>
    <x v="13"/>
    <x v="30"/>
    <d v="2025-10-09T00:00:00"/>
    <d v="2025-10-13T00:00:00"/>
    <x v="0"/>
    <x v="0"/>
    <d v="2025-10-31T00:00:00"/>
    <n v="3"/>
    <n v="1"/>
    <n v="4"/>
    <x v="3"/>
  </r>
  <r>
    <x v="590"/>
    <x v="2"/>
    <x v="1"/>
    <x v="24"/>
    <x v="2"/>
    <m/>
    <m/>
    <x v="1"/>
    <x v="4"/>
    <m/>
    <m/>
    <m/>
    <m/>
    <x v="2"/>
  </r>
  <r>
    <x v="591"/>
    <x v="1"/>
    <x v="0"/>
    <x v="16"/>
    <x v="31"/>
    <d v="2025-10-23T00:00:00"/>
    <d v="2025-10-26T00:00:00"/>
    <x v="0"/>
    <x v="0"/>
    <d v="2025-11-25T00:00:00"/>
    <n v="5"/>
    <n v="1"/>
    <n v="3"/>
    <x v="6"/>
  </r>
  <r>
    <x v="592"/>
    <x v="0"/>
    <x v="2"/>
    <x v="4"/>
    <x v="3"/>
    <d v="2025-10-19T00:00:00"/>
    <d v="2025-10-26T00:00:00"/>
    <x v="1"/>
    <x v="1"/>
    <m/>
    <n v="4"/>
    <n v="1"/>
    <n v="7"/>
    <x v="2"/>
  </r>
  <r>
    <x v="593"/>
    <x v="3"/>
    <x v="0"/>
    <x v="23"/>
    <x v="9"/>
    <d v="2025-10-28T00:00:00"/>
    <d v="2025-11-01T00:00:00"/>
    <x v="0"/>
    <x v="0"/>
    <d v="2025-12-01T00:00:00"/>
    <n v="5"/>
    <n v="4"/>
    <n v="4"/>
    <x v="11"/>
  </r>
  <r>
    <x v="594"/>
    <x v="2"/>
    <x v="0"/>
    <x v="26"/>
    <x v="25"/>
    <d v="2025-10-28T00:00:00"/>
    <d v="2025-11-04T00:00:00"/>
    <x v="0"/>
    <x v="0"/>
    <d v="2025-11-23T00:00:00"/>
    <n v="4"/>
    <n v="2"/>
    <n v="7"/>
    <x v="0"/>
  </r>
  <r>
    <x v="595"/>
    <x v="1"/>
    <x v="0"/>
    <x v="19"/>
    <x v="23"/>
    <d v="2025-10-31T00:00:00"/>
    <d v="2025-11-02T00:00:00"/>
    <x v="0"/>
    <x v="0"/>
    <d v="2025-11-18T00:00:00"/>
    <n v="3"/>
    <n v="2"/>
    <n v="2"/>
    <x v="1"/>
  </r>
  <r>
    <x v="596"/>
    <x v="0"/>
    <x v="0"/>
    <x v="14"/>
    <x v="15"/>
    <d v="2025-10-08T00:00:00"/>
    <d v="2025-10-10T00:00:00"/>
    <x v="1"/>
    <x v="1"/>
    <m/>
    <n v="1"/>
    <n v="1"/>
    <n v="2"/>
    <x v="2"/>
  </r>
  <r>
    <x v="597"/>
    <x v="1"/>
    <x v="0"/>
    <x v="14"/>
    <x v="30"/>
    <d v="2025-10-10T00:00:00"/>
    <d v="2025-10-14T00:00:00"/>
    <x v="0"/>
    <x v="0"/>
    <d v="2025-10-28T00:00:00"/>
    <n v="2"/>
    <n v="2"/>
    <n v="4"/>
    <x v="9"/>
  </r>
  <r>
    <x v="598"/>
    <x v="2"/>
    <x v="0"/>
    <x v="14"/>
    <x v="27"/>
    <d v="2025-10-10T00:00:00"/>
    <d v="2025-10-15T00:00:00"/>
    <x v="0"/>
    <x v="0"/>
    <d v="2025-11-10T00:00:00"/>
    <n v="3"/>
    <n v="1"/>
    <n v="5"/>
    <x v="10"/>
  </r>
  <r>
    <x v="599"/>
    <x v="0"/>
    <x v="0"/>
    <x v="25"/>
    <x v="13"/>
    <d v="2025-10-08T00:00:00"/>
    <d v="2025-10-12T00:00:00"/>
    <x v="0"/>
    <x v="0"/>
    <d v="2025-10-29T00:00:00"/>
    <n v="3"/>
    <n v="2"/>
    <n v="4"/>
    <x v="8"/>
  </r>
  <r>
    <x v="600"/>
    <x v="1"/>
    <x v="1"/>
    <x v="18"/>
    <x v="2"/>
    <m/>
    <m/>
    <x v="1"/>
    <x v="5"/>
    <m/>
    <m/>
    <m/>
    <m/>
    <x v="2"/>
  </r>
  <r>
    <x v="601"/>
    <x v="3"/>
    <x v="0"/>
    <x v="3"/>
    <x v="23"/>
    <d v="2025-11-03T00:00:00"/>
    <d v="2025-11-09T00:00:00"/>
    <x v="0"/>
    <x v="0"/>
    <d v="2025-11-20T00:00:00"/>
    <n v="1"/>
    <n v="5"/>
    <n v="6"/>
    <x v="9"/>
  </r>
  <r>
    <x v="602"/>
    <x v="0"/>
    <x v="2"/>
    <x v="27"/>
    <x v="24"/>
    <d v="2025-10-20T00:00:00"/>
    <d v="2025-10-22T00:00:00"/>
    <x v="0"/>
    <x v="0"/>
    <d v="2025-11-20T00:00:00"/>
    <n v="3"/>
    <n v="4"/>
    <n v="2"/>
    <x v="1"/>
  </r>
  <r>
    <x v="603"/>
    <x v="1"/>
    <x v="0"/>
    <x v="18"/>
    <x v="18"/>
    <d v="2025-10-26T00:00:00"/>
    <d v="2025-10-30T00:00:00"/>
    <x v="0"/>
    <x v="0"/>
    <d v="2025-11-21T00:00:00"/>
    <n v="3"/>
    <n v="3"/>
    <n v="4"/>
    <x v="5"/>
  </r>
  <r>
    <x v="604"/>
    <x v="2"/>
    <x v="2"/>
    <x v="26"/>
    <x v="18"/>
    <d v="2025-10-24T00:00:00"/>
    <d v="2025-10-31T00:00:00"/>
    <x v="0"/>
    <x v="0"/>
    <d v="2025-11-20T00:00:00"/>
    <n v="1"/>
    <n v="1"/>
    <n v="7"/>
    <x v="3"/>
  </r>
  <r>
    <x v="605"/>
    <x v="2"/>
    <x v="0"/>
    <x v="24"/>
    <x v="17"/>
    <d v="2025-10-16T00:00:00"/>
    <d v="2025-10-22T00:00:00"/>
    <x v="0"/>
    <x v="0"/>
    <d v="2025-11-05T00:00:00"/>
    <n v="3"/>
    <n v="5"/>
    <n v="6"/>
    <x v="9"/>
  </r>
  <r>
    <x v="606"/>
    <x v="0"/>
    <x v="0"/>
    <x v="6"/>
    <x v="5"/>
    <d v="2025-10-25T00:00:00"/>
    <d v="2025-11-01T00:00:00"/>
    <x v="0"/>
    <x v="0"/>
    <d v="2025-11-11T00:00:00"/>
    <n v="4"/>
    <n v="5"/>
    <n v="7"/>
    <x v="0"/>
  </r>
  <r>
    <x v="607"/>
    <x v="1"/>
    <x v="2"/>
    <x v="20"/>
    <x v="35"/>
    <d v="2025-11-07T00:00:00"/>
    <d v="2025-11-09T00:00:00"/>
    <x v="0"/>
    <x v="0"/>
    <d v="2025-12-09T00:00:00"/>
    <n v="4"/>
    <n v="4"/>
    <n v="2"/>
    <x v="8"/>
  </r>
  <r>
    <x v="608"/>
    <x v="0"/>
    <x v="0"/>
    <x v="23"/>
    <x v="18"/>
    <d v="2025-10-27T00:00:00"/>
    <d v="2025-11-01T00:00:00"/>
    <x v="0"/>
    <x v="0"/>
    <d v="2025-11-26T00:00:00"/>
    <n v="4"/>
    <n v="4"/>
    <n v="5"/>
    <x v="6"/>
  </r>
  <r>
    <x v="609"/>
    <x v="0"/>
    <x v="2"/>
    <x v="13"/>
    <x v="27"/>
    <d v="2025-10-10T00:00:00"/>
    <d v="2025-10-15T00:00:00"/>
    <x v="0"/>
    <x v="0"/>
    <d v="2025-11-03T00:00:00"/>
    <n v="4"/>
    <n v="1"/>
    <n v="5"/>
    <x v="10"/>
  </r>
  <r>
    <x v="610"/>
    <x v="1"/>
    <x v="2"/>
    <x v="24"/>
    <x v="17"/>
    <d v="2025-10-12T00:00:00"/>
    <d v="2025-10-18T00:00:00"/>
    <x v="0"/>
    <x v="0"/>
    <d v="2025-11-05T00:00:00"/>
    <n v="3"/>
    <n v="1"/>
    <n v="6"/>
    <x v="10"/>
  </r>
  <r>
    <x v="611"/>
    <x v="1"/>
    <x v="0"/>
    <x v="11"/>
    <x v="7"/>
    <d v="2025-10-22T00:00:00"/>
    <d v="2025-10-26T00:00:00"/>
    <x v="0"/>
    <x v="0"/>
    <d v="2025-11-18T00:00:00"/>
    <n v="2"/>
    <n v="5"/>
    <n v="4"/>
    <x v="0"/>
  </r>
  <r>
    <x v="612"/>
    <x v="3"/>
    <x v="0"/>
    <x v="0"/>
    <x v="0"/>
    <d v="2025-10-30T00:00:00"/>
    <d v="2025-11-01T00:00:00"/>
    <x v="0"/>
    <x v="0"/>
    <d v="2025-11-23T00:00:00"/>
    <n v="4"/>
    <n v="5"/>
    <n v="2"/>
    <x v="1"/>
  </r>
  <r>
    <x v="613"/>
    <x v="1"/>
    <x v="1"/>
    <x v="17"/>
    <x v="2"/>
    <m/>
    <m/>
    <x v="1"/>
    <x v="5"/>
    <m/>
    <m/>
    <m/>
    <m/>
    <x v="2"/>
  </r>
  <r>
    <x v="614"/>
    <x v="2"/>
    <x v="0"/>
    <x v="11"/>
    <x v="22"/>
    <d v="2025-10-23T00:00:00"/>
    <d v="2025-10-28T00:00:00"/>
    <x v="0"/>
    <x v="0"/>
    <d v="2025-11-19T00:00:00"/>
    <n v="4"/>
    <n v="4"/>
    <n v="5"/>
    <x v="5"/>
  </r>
  <r>
    <x v="615"/>
    <x v="0"/>
    <x v="0"/>
    <x v="17"/>
    <x v="20"/>
    <d v="2025-10-13T00:00:00"/>
    <d v="2025-10-19T00:00:00"/>
    <x v="0"/>
    <x v="0"/>
    <d v="2025-10-30T00:00:00"/>
    <n v="3"/>
    <n v="1"/>
    <n v="6"/>
    <x v="5"/>
  </r>
  <r>
    <x v="616"/>
    <x v="0"/>
    <x v="0"/>
    <x v="26"/>
    <x v="12"/>
    <d v="2025-10-28T00:00:00"/>
    <d v="2025-10-31T00:00:00"/>
    <x v="0"/>
    <x v="0"/>
    <d v="2025-11-28T00:00:00"/>
    <n v="5"/>
    <n v="1"/>
    <n v="3"/>
    <x v="9"/>
  </r>
  <r>
    <x v="617"/>
    <x v="2"/>
    <x v="2"/>
    <x v="2"/>
    <x v="26"/>
    <d v="2025-10-09T00:00:00"/>
    <d v="2025-10-13T00:00:00"/>
    <x v="0"/>
    <x v="0"/>
    <d v="2025-11-10T00:00:00"/>
    <n v="3"/>
    <n v="5"/>
    <n v="4"/>
    <x v="8"/>
  </r>
  <r>
    <x v="618"/>
    <x v="1"/>
    <x v="1"/>
    <x v="10"/>
    <x v="2"/>
    <m/>
    <m/>
    <x v="1"/>
    <x v="5"/>
    <m/>
    <m/>
    <m/>
    <m/>
    <x v="2"/>
  </r>
  <r>
    <x v="619"/>
    <x v="2"/>
    <x v="0"/>
    <x v="19"/>
    <x v="12"/>
    <d v="2025-10-30T00:00:00"/>
    <d v="2025-11-02T00:00:00"/>
    <x v="1"/>
    <x v="4"/>
    <m/>
    <n v="1"/>
    <n v="3"/>
    <n v="3"/>
    <x v="2"/>
  </r>
  <r>
    <x v="620"/>
    <x v="2"/>
    <x v="0"/>
    <x v="11"/>
    <x v="22"/>
    <d v="2025-10-24T00:00:00"/>
    <d v="2025-10-28T00:00:00"/>
    <x v="1"/>
    <x v="3"/>
    <m/>
    <n v="4"/>
    <n v="5"/>
    <n v="4"/>
    <x v="2"/>
  </r>
  <r>
    <x v="621"/>
    <x v="3"/>
    <x v="2"/>
    <x v="10"/>
    <x v="11"/>
    <d v="2025-11-02T00:00:00"/>
    <d v="2025-11-04T00:00:00"/>
    <x v="0"/>
    <x v="0"/>
    <d v="2025-11-20T00:00:00"/>
    <n v="1"/>
    <n v="3"/>
    <n v="2"/>
    <x v="5"/>
  </r>
  <r>
    <x v="622"/>
    <x v="2"/>
    <x v="0"/>
    <x v="29"/>
    <x v="1"/>
    <d v="2025-10-15T00:00:00"/>
    <d v="2025-10-21T00:00:00"/>
    <x v="0"/>
    <x v="0"/>
    <d v="2025-11-10T00:00:00"/>
    <n v="4"/>
    <n v="1"/>
    <n v="6"/>
    <x v="3"/>
  </r>
  <r>
    <x v="623"/>
    <x v="0"/>
    <x v="0"/>
    <x v="26"/>
    <x v="12"/>
    <d v="2025-11-01T00:00:00"/>
    <d v="2025-11-08T00:00:00"/>
    <x v="0"/>
    <x v="0"/>
    <d v="2025-11-25T00:00:00"/>
    <n v="5"/>
    <n v="5"/>
    <n v="7"/>
    <x v="1"/>
  </r>
  <r>
    <x v="624"/>
    <x v="2"/>
    <x v="1"/>
    <x v="21"/>
    <x v="2"/>
    <m/>
    <m/>
    <x v="1"/>
    <x v="5"/>
    <m/>
    <m/>
    <m/>
    <m/>
    <x v="2"/>
  </r>
  <r>
    <x v="625"/>
    <x v="0"/>
    <x v="2"/>
    <x v="14"/>
    <x v="30"/>
    <d v="2025-10-12T00:00:00"/>
    <d v="2025-10-19T00:00:00"/>
    <x v="0"/>
    <x v="0"/>
    <d v="2025-11-15T00:00:00"/>
    <n v="2"/>
    <n v="4"/>
    <n v="7"/>
    <x v="6"/>
  </r>
  <r>
    <x v="626"/>
    <x v="0"/>
    <x v="0"/>
    <x v="25"/>
    <x v="30"/>
    <d v="2025-10-10T00:00:00"/>
    <d v="2025-10-12T00:00:00"/>
    <x v="0"/>
    <x v="0"/>
    <d v="2025-11-11T00:00:00"/>
    <n v="5"/>
    <n v="2"/>
    <n v="2"/>
    <x v="10"/>
  </r>
  <r>
    <x v="627"/>
    <x v="0"/>
    <x v="1"/>
    <x v="11"/>
    <x v="2"/>
    <m/>
    <m/>
    <x v="1"/>
    <x v="5"/>
    <m/>
    <m/>
    <m/>
    <m/>
    <x v="2"/>
  </r>
  <r>
    <x v="628"/>
    <x v="1"/>
    <x v="0"/>
    <x v="8"/>
    <x v="35"/>
    <d v="2025-11-04T00:00:00"/>
    <d v="2025-11-07T00:00:00"/>
    <x v="1"/>
    <x v="2"/>
    <m/>
    <n v="3"/>
    <n v="1"/>
    <n v="3"/>
    <x v="2"/>
  </r>
  <r>
    <x v="629"/>
    <x v="3"/>
    <x v="0"/>
    <x v="9"/>
    <x v="14"/>
    <d v="2025-10-16T00:00:00"/>
    <d v="2025-10-23T00:00:00"/>
    <x v="0"/>
    <x v="0"/>
    <d v="2025-11-17T00:00:00"/>
    <n v="3"/>
    <n v="1"/>
    <n v="7"/>
    <x v="9"/>
  </r>
  <r>
    <x v="630"/>
    <x v="0"/>
    <x v="2"/>
    <x v="23"/>
    <x v="5"/>
    <d v="2025-10-25T00:00:00"/>
    <d v="2025-10-31T00:00:00"/>
    <x v="0"/>
    <x v="0"/>
    <d v="2025-11-21T00:00:00"/>
    <n v="1"/>
    <n v="5"/>
    <n v="6"/>
    <x v="10"/>
  </r>
  <r>
    <x v="631"/>
    <x v="0"/>
    <x v="1"/>
    <x v="29"/>
    <x v="2"/>
    <m/>
    <m/>
    <x v="1"/>
    <x v="4"/>
    <m/>
    <m/>
    <m/>
    <m/>
    <x v="2"/>
  </r>
  <r>
    <x v="632"/>
    <x v="1"/>
    <x v="2"/>
    <x v="0"/>
    <x v="31"/>
    <d v="2025-10-24T00:00:00"/>
    <d v="2025-10-26T00:00:00"/>
    <x v="0"/>
    <x v="0"/>
    <d v="2025-11-21T00:00:00"/>
    <n v="1"/>
    <n v="2"/>
    <n v="2"/>
    <x v="3"/>
  </r>
  <r>
    <x v="633"/>
    <x v="0"/>
    <x v="0"/>
    <x v="8"/>
    <x v="35"/>
    <d v="2025-11-05T00:00:00"/>
    <d v="2025-11-07T00:00:00"/>
    <x v="0"/>
    <x v="0"/>
    <d v="2025-11-26T00:00:00"/>
    <n v="3"/>
    <n v="2"/>
    <n v="2"/>
    <x v="9"/>
  </r>
  <r>
    <x v="634"/>
    <x v="2"/>
    <x v="0"/>
    <x v="4"/>
    <x v="7"/>
    <d v="2025-10-19T00:00:00"/>
    <d v="2025-10-21T00:00:00"/>
    <x v="0"/>
    <x v="0"/>
    <d v="2025-11-05T00:00:00"/>
    <n v="3"/>
    <n v="2"/>
    <n v="2"/>
    <x v="7"/>
  </r>
  <r>
    <x v="635"/>
    <x v="2"/>
    <x v="2"/>
    <x v="12"/>
    <x v="25"/>
    <d v="2025-10-31T00:00:00"/>
    <d v="2025-11-03T00:00:00"/>
    <x v="1"/>
    <x v="5"/>
    <m/>
    <n v="3"/>
    <n v="5"/>
    <n v="3"/>
    <x v="2"/>
  </r>
  <r>
    <x v="636"/>
    <x v="3"/>
    <x v="0"/>
    <x v="17"/>
    <x v="19"/>
    <d v="2025-10-18T00:00:00"/>
    <d v="2025-10-20T00:00:00"/>
    <x v="0"/>
    <x v="0"/>
    <d v="2025-11-16T00:00:00"/>
    <n v="4"/>
    <n v="5"/>
    <n v="2"/>
    <x v="9"/>
  </r>
  <r>
    <x v="637"/>
    <x v="0"/>
    <x v="2"/>
    <x v="11"/>
    <x v="5"/>
    <d v="2025-10-23T00:00:00"/>
    <d v="2025-10-28T00:00:00"/>
    <x v="0"/>
    <x v="0"/>
    <d v="2025-11-12T00:00:00"/>
    <n v="5"/>
    <n v="3"/>
    <n v="5"/>
    <x v="0"/>
  </r>
  <r>
    <x v="638"/>
    <x v="1"/>
    <x v="2"/>
    <x v="3"/>
    <x v="10"/>
    <d v="2025-11-04T00:00:00"/>
    <d v="2025-11-08T00:00:00"/>
    <x v="0"/>
    <x v="0"/>
    <d v="2025-11-27T00:00:00"/>
    <n v="4"/>
    <n v="3"/>
    <n v="4"/>
    <x v="10"/>
  </r>
  <r>
    <x v="639"/>
    <x v="2"/>
    <x v="0"/>
    <x v="29"/>
    <x v="20"/>
    <d v="2025-10-15T00:00:00"/>
    <d v="2025-10-20T00:00:00"/>
    <x v="0"/>
    <x v="0"/>
    <d v="2025-11-02T00:00:00"/>
    <n v="2"/>
    <n v="3"/>
    <n v="5"/>
    <x v="1"/>
  </r>
  <r>
    <x v="640"/>
    <x v="1"/>
    <x v="1"/>
    <x v="28"/>
    <x v="2"/>
    <m/>
    <m/>
    <x v="1"/>
    <x v="2"/>
    <m/>
    <m/>
    <m/>
    <m/>
    <x v="2"/>
  </r>
  <r>
    <x v="641"/>
    <x v="1"/>
    <x v="0"/>
    <x v="27"/>
    <x v="7"/>
    <d v="2025-10-21T00:00:00"/>
    <d v="2025-10-24T00:00:00"/>
    <x v="0"/>
    <x v="0"/>
    <d v="2025-11-18T00:00:00"/>
    <n v="4"/>
    <n v="4"/>
    <n v="3"/>
    <x v="3"/>
  </r>
  <r>
    <x v="642"/>
    <x v="2"/>
    <x v="0"/>
    <x v="3"/>
    <x v="4"/>
    <d v="2025-11-01T00:00:00"/>
    <d v="2025-11-04T00:00:00"/>
    <x v="0"/>
    <x v="0"/>
    <d v="2025-11-18T00:00:00"/>
    <n v="3"/>
    <n v="1"/>
    <n v="3"/>
    <x v="8"/>
  </r>
  <r>
    <x v="643"/>
    <x v="1"/>
    <x v="2"/>
    <x v="6"/>
    <x v="5"/>
    <d v="2025-10-23T00:00:00"/>
    <d v="2025-10-25T00:00:00"/>
    <x v="0"/>
    <x v="0"/>
    <d v="2025-11-12T00:00:00"/>
    <n v="4"/>
    <n v="3"/>
    <n v="2"/>
    <x v="8"/>
  </r>
  <r>
    <x v="644"/>
    <x v="2"/>
    <x v="2"/>
    <x v="7"/>
    <x v="6"/>
    <d v="2025-10-09T00:00:00"/>
    <d v="2025-10-15T00:00:00"/>
    <x v="0"/>
    <x v="0"/>
    <d v="2025-11-11T00:00:00"/>
    <n v="1"/>
    <n v="4"/>
    <n v="6"/>
    <x v="10"/>
  </r>
  <r>
    <x v="645"/>
    <x v="1"/>
    <x v="2"/>
    <x v="24"/>
    <x v="17"/>
    <d v="2025-10-15T00:00:00"/>
    <d v="2025-10-22T00:00:00"/>
    <x v="0"/>
    <x v="0"/>
    <d v="2025-11-06T00:00:00"/>
    <n v="3"/>
    <n v="4"/>
    <n v="7"/>
    <x v="6"/>
  </r>
  <r>
    <x v="646"/>
    <x v="2"/>
    <x v="2"/>
    <x v="27"/>
    <x v="3"/>
    <d v="2025-10-23T00:00:00"/>
    <d v="2025-10-30T00:00:00"/>
    <x v="0"/>
    <x v="0"/>
    <d v="2025-11-19T00:00:00"/>
    <n v="5"/>
    <n v="5"/>
    <n v="7"/>
    <x v="5"/>
  </r>
  <r>
    <x v="647"/>
    <x v="0"/>
    <x v="0"/>
    <x v="23"/>
    <x v="18"/>
    <d v="2025-10-25T00:00:00"/>
    <d v="2025-11-01T00:00:00"/>
    <x v="0"/>
    <x v="0"/>
    <d v="2025-12-01T00:00:00"/>
    <n v="4"/>
    <n v="2"/>
    <n v="7"/>
    <x v="7"/>
  </r>
  <r>
    <x v="648"/>
    <x v="3"/>
    <x v="0"/>
    <x v="9"/>
    <x v="14"/>
    <d v="2025-10-17T00:00:00"/>
    <d v="2025-10-22T00:00:00"/>
    <x v="0"/>
    <x v="0"/>
    <d v="2025-11-03T00:00:00"/>
    <n v="3"/>
    <n v="2"/>
    <n v="5"/>
    <x v="6"/>
  </r>
  <r>
    <x v="649"/>
    <x v="2"/>
    <x v="0"/>
    <x v="23"/>
    <x v="5"/>
    <d v="2025-10-23T00:00:00"/>
    <d v="2025-10-26T00:00:00"/>
    <x v="1"/>
    <x v="1"/>
    <m/>
    <n v="1"/>
    <n v="3"/>
    <n v="3"/>
    <x v="2"/>
  </r>
  <r>
    <x v="650"/>
    <x v="2"/>
    <x v="2"/>
    <x v="29"/>
    <x v="17"/>
    <d v="2025-10-12T00:00:00"/>
    <d v="2025-10-16T00:00:00"/>
    <x v="1"/>
    <x v="5"/>
    <m/>
    <n v="1"/>
    <n v="1"/>
    <n v="4"/>
    <x v="2"/>
  </r>
  <r>
    <x v="651"/>
    <x v="3"/>
    <x v="0"/>
    <x v="12"/>
    <x v="12"/>
    <d v="2025-10-28T00:00:00"/>
    <d v="2025-10-31T00:00:00"/>
    <x v="1"/>
    <x v="5"/>
    <m/>
    <n v="4"/>
    <n v="1"/>
    <n v="3"/>
    <x v="2"/>
  </r>
  <r>
    <x v="652"/>
    <x v="2"/>
    <x v="1"/>
    <x v="29"/>
    <x v="2"/>
    <m/>
    <m/>
    <x v="1"/>
    <x v="2"/>
    <m/>
    <m/>
    <m/>
    <m/>
    <x v="2"/>
  </r>
  <r>
    <x v="653"/>
    <x v="2"/>
    <x v="2"/>
    <x v="2"/>
    <x v="26"/>
    <d v="2025-10-05T00:00:00"/>
    <d v="2025-10-10T00:00:00"/>
    <x v="0"/>
    <x v="0"/>
    <d v="2025-10-27T00:00:00"/>
    <n v="3"/>
    <n v="1"/>
    <n v="5"/>
    <x v="9"/>
  </r>
  <r>
    <x v="654"/>
    <x v="1"/>
    <x v="1"/>
    <x v="5"/>
    <x v="2"/>
    <m/>
    <m/>
    <x v="1"/>
    <x v="4"/>
    <m/>
    <m/>
    <m/>
    <m/>
    <x v="2"/>
  </r>
  <r>
    <x v="655"/>
    <x v="3"/>
    <x v="1"/>
    <x v="26"/>
    <x v="2"/>
    <m/>
    <m/>
    <x v="1"/>
    <x v="5"/>
    <m/>
    <m/>
    <m/>
    <m/>
    <x v="2"/>
  </r>
  <r>
    <x v="656"/>
    <x v="0"/>
    <x v="2"/>
    <x v="27"/>
    <x v="3"/>
    <d v="2025-10-22T00:00:00"/>
    <d v="2025-10-29T00:00:00"/>
    <x v="0"/>
    <x v="0"/>
    <d v="2025-11-19T00:00:00"/>
    <n v="5"/>
    <n v="4"/>
    <n v="7"/>
    <x v="0"/>
  </r>
  <r>
    <x v="657"/>
    <x v="2"/>
    <x v="0"/>
    <x v="17"/>
    <x v="17"/>
    <d v="2025-10-15T00:00:00"/>
    <d v="2025-10-19T00:00:00"/>
    <x v="1"/>
    <x v="1"/>
    <m/>
    <n v="2"/>
    <n v="4"/>
    <n v="4"/>
    <x v="2"/>
  </r>
  <r>
    <x v="658"/>
    <x v="3"/>
    <x v="0"/>
    <x v="2"/>
    <x v="29"/>
    <d v="2025-10-06T00:00:00"/>
    <d v="2025-10-10T00:00:00"/>
    <x v="1"/>
    <x v="5"/>
    <m/>
    <n v="1"/>
    <n v="4"/>
    <n v="4"/>
    <x v="2"/>
  </r>
  <r>
    <x v="659"/>
    <x v="1"/>
    <x v="0"/>
    <x v="23"/>
    <x v="16"/>
    <d v="2025-10-26T00:00:00"/>
    <d v="2025-10-28T00:00:00"/>
    <x v="0"/>
    <x v="0"/>
    <d v="2025-11-14T00:00:00"/>
    <n v="2"/>
    <n v="5"/>
    <n v="2"/>
    <x v="0"/>
  </r>
  <r>
    <x v="660"/>
    <x v="0"/>
    <x v="0"/>
    <x v="3"/>
    <x v="34"/>
    <d v="2025-11-06T00:00:00"/>
    <d v="2025-11-12T00:00:00"/>
    <x v="0"/>
    <x v="0"/>
    <d v="2025-12-01T00:00:00"/>
    <n v="5"/>
    <n v="4"/>
    <n v="6"/>
    <x v="10"/>
  </r>
  <r>
    <x v="661"/>
    <x v="3"/>
    <x v="0"/>
    <x v="26"/>
    <x v="25"/>
    <d v="2025-10-27T00:00:00"/>
    <d v="2025-10-31T00:00:00"/>
    <x v="0"/>
    <x v="0"/>
    <d v="2025-11-23T00:00:00"/>
    <n v="4"/>
    <n v="1"/>
    <n v="4"/>
    <x v="3"/>
  </r>
  <r>
    <x v="662"/>
    <x v="0"/>
    <x v="0"/>
    <x v="22"/>
    <x v="25"/>
    <d v="2025-10-27T00:00:00"/>
    <d v="2025-10-29T00:00:00"/>
    <x v="0"/>
    <x v="0"/>
    <d v="2025-11-18T00:00:00"/>
    <n v="1"/>
    <n v="1"/>
    <n v="2"/>
    <x v="7"/>
  </r>
  <r>
    <x v="663"/>
    <x v="0"/>
    <x v="0"/>
    <x v="15"/>
    <x v="25"/>
    <d v="2025-10-28T00:00:00"/>
    <d v="2025-11-03T00:00:00"/>
    <x v="0"/>
    <x v="0"/>
    <d v="2025-11-24T00:00:00"/>
    <n v="2"/>
    <n v="2"/>
    <n v="6"/>
    <x v="8"/>
  </r>
  <r>
    <x v="664"/>
    <x v="0"/>
    <x v="0"/>
    <x v="30"/>
    <x v="33"/>
    <d v="2025-10-04T00:00:00"/>
    <d v="2025-10-11T00:00:00"/>
    <x v="0"/>
    <x v="0"/>
    <d v="2025-10-29T00:00:00"/>
    <n v="1"/>
    <n v="1"/>
    <n v="7"/>
    <x v="3"/>
  </r>
  <r>
    <x v="665"/>
    <x v="2"/>
    <x v="0"/>
    <x v="20"/>
    <x v="10"/>
    <d v="2025-11-05T00:00:00"/>
    <d v="2025-11-07T00:00:00"/>
    <x v="0"/>
    <x v="0"/>
    <d v="2025-12-05T00:00:00"/>
    <n v="2"/>
    <n v="4"/>
    <n v="2"/>
    <x v="0"/>
  </r>
  <r>
    <x v="666"/>
    <x v="2"/>
    <x v="0"/>
    <x v="18"/>
    <x v="18"/>
    <d v="2025-10-27T00:00:00"/>
    <d v="2025-10-30T00:00:00"/>
    <x v="0"/>
    <x v="0"/>
    <d v="2025-11-18T00:00:00"/>
    <n v="3"/>
    <n v="4"/>
    <n v="3"/>
    <x v="11"/>
  </r>
  <r>
    <x v="667"/>
    <x v="1"/>
    <x v="0"/>
    <x v="15"/>
    <x v="12"/>
    <d v="2025-10-30T00:00:00"/>
    <d v="2025-11-02T00:00:00"/>
    <x v="0"/>
    <x v="0"/>
    <d v="2025-11-26T00:00:00"/>
    <n v="3"/>
    <n v="3"/>
    <n v="3"/>
    <x v="6"/>
  </r>
  <r>
    <x v="668"/>
    <x v="1"/>
    <x v="2"/>
    <x v="6"/>
    <x v="5"/>
    <d v="2025-10-25T00:00:00"/>
    <d v="2025-10-31T00:00:00"/>
    <x v="0"/>
    <x v="0"/>
    <d v="2025-11-13T00:00:00"/>
    <n v="4"/>
    <n v="5"/>
    <n v="6"/>
    <x v="0"/>
  </r>
  <r>
    <x v="669"/>
    <x v="3"/>
    <x v="2"/>
    <x v="5"/>
    <x v="10"/>
    <d v="2025-11-02T00:00:00"/>
    <d v="2025-11-04T00:00:00"/>
    <x v="1"/>
    <x v="1"/>
    <m/>
    <n v="5"/>
    <n v="1"/>
    <n v="2"/>
    <x v="2"/>
  </r>
  <r>
    <x v="670"/>
    <x v="1"/>
    <x v="1"/>
    <x v="10"/>
    <x v="2"/>
    <m/>
    <m/>
    <x v="1"/>
    <x v="3"/>
    <m/>
    <m/>
    <m/>
    <m/>
    <x v="2"/>
  </r>
  <r>
    <x v="671"/>
    <x v="0"/>
    <x v="0"/>
    <x v="10"/>
    <x v="11"/>
    <d v="2025-11-04T00:00:00"/>
    <d v="2025-11-09T00:00:00"/>
    <x v="0"/>
    <x v="0"/>
    <d v="2025-12-04T00:00:00"/>
    <n v="1"/>
    <n v="5"/>
    <n v="5"/>
    <x v="6"/>
  </r>
  <r>
    <x v="672"/>
    <x v="0"/>
    <x v="2"/>
    <x v="29"/>
    <x v="14"/>
    <d v="2025-10-16T00:00:00"/>
    <d v="2025-10-18T00:00:00"/>
    <x v="0"/>
    <x v="0"/>
    <d v="2025-10-29T00:00:00"/>
    <n v="5"/>
    <n v="1"/>
    <n v="2"/>
    <x v="5"/>
  </r>
  <r>
    <x v="673"/>
    <x v="2"/>
    <x v="2"/>
    <x v="22"/>
    <x v="12"/>
    <d v="2025-10-29T00:00:00"/>
    <d v="2025-11-03T00:00:00"/>
    <x v="0"/>
    <x v="0"/>
    <d v="2025-12-03T00:00:00"/>
    <n v="2"/>
    <n v="2"/>
    <n v="5"/>
    <x v="4"/>
  </r>
  <r>
    <x v="674"/>
    <x v="0"/>
    <x v="2"/>
    <x v="19"/>
    <x v="11"/>
    <d v="2025-11-01T00:00:00"/>
    <d v="2025-11-05T00:00:00"/>
    <x v="0"/>
    <x v="0"/>
    <d v="2025-12-03T00:00:00"/>
    <n v="4"/>
    <n v="2"/>
    <n v="4"/>
    <x v="1"/>
  </r>
  <r>
    <x v="675"/>
    <x v="3"/>
    <x v="1"/>
    <x v="24"/>
    <x v="2"/>
    <m/>
    <m/>
    <x v="1"/>
    <x v="3"/>
    <m/>
    <m/>
    <m/>
    <m/>
    <x v="2"/>
  </r>
  <r>
    <x v="676"/>
    <x v="0"/>
    <x v="0"/>
    <x v="18"/>
    <x v="18"/>
    <d v="2025-10-28T00:00:00"/>
    <d v="2025-11-01T00:00:00"/>
    <x v="0"/>
    <x v="0"/>
    <d v="2025-11-29T00:00:00"/>
    <n v="3"/>
    <n v="5"/>
    <n v="4"/>
    <x v="4"/>
  </r>
  <r>
    <x v="677"/>
    <x v="0"/>
    <x v="1"/>
    <x v="19"/>
    <x v="2"/>
    <m/>
    <m/>
    <x v="1"/>
    <x v="1"/>
    <m/>
    <m/>
    <m/>
    <m/>
    <x v="2"/>
  </r>
  <r>
    <x v="678"/>
    <x v="3"/>
    <x v="0"/>
    <x v="9"/>
    <x v="14"/>
    <d v="2025-10-19T00:00:00"/>
    <d v="2025-10-23T00:00:00"/>
    <x v="1"/>
    <x v="4"/>
    <m/>
    <n v="3"/>
    <n v="4"/>
    <n v="4"/>
    <x v="2"/>
  </r>
  <r>
    <x v="679"/>
    <x v="1"/>
    <x v="0"/>
    <x v="24"/>
    <x v="20"/>
    <d v="2025-10-15T00:00:00"/>
    <d v="2025-10-17T00:00:00"/>
    <x v="0"/>
    <x v="0"/>
    <d v="2025-11-15T00:00:00"/>
    <n v="4"/>
    <n v="3"/>
    <n v="2"/>
    <x v="4"/>
  </r>
  <r>
    <x v="680"/>
    <x v="1"/>
    <x v="0"/>
    <x v="0"/>
    <x v="31"/>
    <d v="2025-10-23T00:00:00"/>
    <d v="2025-10-29T00:00:00"/>
    <x v="0"/>
    <x v="0"/>
    <d v="2025-11-10T00:00:00"/>
    <n v="1"/>
    <n v="1"/>
    <n v="6"/>
    <x v="0"/>
  </r>
  <r>
    <x v="681"/>
    <x v="3"/>
    <x v="0"/>
    <x v="28"/>
    <x v="20"/>
    <d v="2025-10-13T00:00:00"/>
    <d v="2025-10-18T00:00:00"/>
    <x v="0"/>
    <x v="0"/>
    <d v="2025-11-12T00:00:00"/>
    <n v="5"/>
    <n v="1"/>
    <n v="5"/>
    <x v="3"/>
  </r>
  <r>
    <x v="682"/>
    <x v="2"/>
    <x v="2"/>
    <x v="18"/>
    <x v="31"/>
    <d v="2025-10-25T00:00:00"/>
    <d v="2025-10-27T00:00:00"/>
    <x v="0"/>
    <x v="0"/>
    <d v="2025-11-12T00:00:00"/>
    <n v="2"/>
    <n v="3"/>
    <n v="2"/>
    <x v="1"/>
  </r>
  <r>
    <x v="683"/>
    <x v="0"/>
    <x v="1"/>
    <x v="17"/>
    <x v="2"/>
    <m/>
    <m/>
    <x v="1"/>
    <x v="5"/>
    <m/>
    <m/>
    <m/>
    <m/>
    <x v="2"/>
  </r>
  <r>
    <x v="684"/>
    <x v="3"/>
    <x v="1"/>
    <x v="26"/>
    <x v="2"/>
    <m/>
    <m/>
    <x v="1"/>
    <x v="5"/>
    <m/>
    <m/>
    <m/>
    <m/>
    <x v="2"/>
  </r>
  <r>
    <x v="685"/>
    <x v="0"/>
    <x v="0"/>
    <x v="22"/>
    <x v="11"/>
    <d v="2025-11-04T00:00:00"/>
    <d v="2025-11-08T00:00:00"/>
    <x v="0"/>
    <x v="0"/>
    <d v="2025-12-04T00:00:00"/>
    <n v="5"/>
    <n v="5"/>
    <n v="4"/>
    <x v="7"/>
  </r>
  <r>
    <x v="686"/>
    <x v="2"/>
    <x v="1"/>
    <x v="15"/>
    <x v="2"/>
    <m/>
    <m/>
    <x v="1"/>
    <x v="3"/>
    <m/>
    <m/>
    <m/>
    <m/>
    <x v="2"/>
  </r>
  <r>
    <x v="687"/>
    <x v="0"/>
    <x v="1"/>
    <x v="22"/>
    <x v="2"/>
    <m/>
    <m/>
    <x v="1"/>
    <x v="1"/>
    <m/>
    <m/>
    <m/>
    <m/>
    <x v="2"/>
  </r>
  <r>
    <x v="688"/>
    <x v="3"/>
    <x v="0"/>
    <x v="26"/>
    <x v="0"/>
    <d v="2025-10-30T00:00:00"/>
    <d v="2025-11-02T00:00:00"/>
    <x v="0"/>
    <x v="0"/>
    <d v="2025-11-15T00:00:00"/>
    <n v="3"/>
    <n v="5"/>
    <n v="3"/>
    <x v="7"/>
  </r>
  <r>
    <x v="689"/>
    <x v="0"/>
    <x v="2"/>
    <x v="26"/>
    <x v="25"/>
    <d v="2025-10-27T00:00:00"/>
    <d v="2025-10-31T00:00:00"/>
    <x v="0"/>
    <x v="0"/>
    <d v="2025-11-22T00:00:00"/>
    <n v="4"/>
    <n v="1"/>
    <n v="4"/>
    <x v="0"/>
  </r>
  <r>
    <x v="690"/>
    <x v="1"/>
    <x v="0"/>
    <x v="5"/>
    <x v="11"/>
    <d v="2025-11-01T00:00:00"/>
    <d v="2025-11-07T00:00:00"/>
    <x v="0"/>
    <x v="0"/>
    <d v="2025-12-03T00:00:00"/>
    <n v="3"/>
    <n v="2"/>
    <n v="6"/>
    <x v="11"/>
  </r>
  <r>
    <x v="691"/>
    <x v="2"/>
    <x v="0"/>
    <x v="13"/>
    <x v="30"/>
    <d v="2025-10-11T00:00:00"/>
    <d v="2025-10-15T00:00:00"/>
    <x v="0"/>
    <x v="0"/>
    <d v="2025-11-03T00:00:00"/>
    <n v="3"/>
    <n v="3"/>
    <n v="4"/>
    <x v="9"/>
  </r>
  <r>
    <x v="692"/>
    <x v="2"/>
    <x v="2"/>
    <x v="0"/>
    <x v="18"/>
    <d v="2025-10-24T00:00:00"/>
    <d v="2025-10-31T00:00:00"/>
    <x v="0"/>
    <x v="0"/>
    <d v="2025-11-23T00:00:00"/>
    <n v="2"/>
    <n v="1"/>
    <n v="7"/>
    <x v="1"/>
  </r>
  <r>
    <x v="693"/>
    <x v="2"/>
    <x v="2"/>
    <x v="7"/>
    <x v="6"/>
    <d v="2025-10-07T00:00:00"/>
    <d v="2025-10-13T00:00:00"/>
    <x v="0"/>
    <x v="0"/>
    <d v="2025-10-24T00:00:00"/>
    <n v="1"/>
    <n v="2"/>
    <n v="6"/>
    <x v="11"/>
  </r>
  <r>
    <x v="694"/>
    <x v="3"/>
    <x v="0"/>
    <x v="10"/>
    <x v="11"/>
    <d v="2025-11-04T00:00:00"/>
    <d v="2025-11-07T00:00:00"/>
    <x v="0"/>
    <x v="0"/>
    <d v="2025-11-21T00:00:00"/>
    <n v="1"/>
    <n v="5"/>
    <n v="3"/>
    <x v="0"/>
  </r>
  <r>
    <x v="695"/>
    <x v="2"/>
    <x v="2"/>
    <x v="0"/>
    <x v="18"/>
    <d v="2025-10-25T00:00:00"/>
    <d v="2025-10-30T00:00:00"/>
    <x v="0"/>
    <x v="0"/>
    <d v="2025-11-13T00:00:00"/>
    <n v="2"/>
    <n v="2"/>
    <n v="5"/>
    <x v="0"/>
  </r>
  <r>
    <x v="696"/>
    <x v="1"/>
    <x v="0"/>
    <x v="0"/>
    <x v="0"/>
    <d v="2025-10-29T00:00:00"/>
    <d v="2025-11-02T00:00:00"/>
    <x v="0"/>
    <x v="0"/>
    <d v="2025-11-18T00:00:00"/>
    <n v="4"/>
    <n v="4"/>
    <n v="4"/>
    <x v="3"/>
  </r>
  <r>
    <x v="697"/>
    <x v="3"/>
    <x v="1"/>
    <x v="30"/>
    <x v="2"/>
    <m/>
    <m/>
    <x v="1"/>
    <x v="5"/>
    <m/>
    <m/>
    <m/>
    <m/>
    <x v="2"/>
  </r>
  <r>
    <x v="698"/>
    <x v="1"/>
    <x v="1"/>
    <x v="29"/>
    <x v="2"/>
    <m/>
    <m/>
    <x v="1"/>
    <x v="5"/>
    <m/>
    <m/>
    <m/>
    <m/>
    <x v="2"/>
  </r>
  <r>
    <x v="699"/>
    <x v="0"/>
    <x v="2"/>
    <x v="19"/>
    <x v="4"/>
    <d v="2025-11-01T00:00:00"/>
    <d v="2025-11-07T00:00:00"/>
    <x v="0"/>
    <x v="0"/>
    <d v="2025-11-27T00:00:00"/>
    <n v="5"/>
    <n v="1"/>
    <n v="6"/>
    <x v="11"/>
  </r>
  <r>
    <x v="700"/>
    <x v="0"/>
    <x v="1"/>
    <x v="11"/>
    <x v="2"/>
    <m/>
    <m/>
    <x v="1"/>
    <x v="4"/>
    <m/>
    <m/>
    <m/>
    <m/>
    <x v="2"/>
  </r>
  <r>
    <x v="701"/>
    <x v="0"/>
    <x v="2"/>
    <x v="30"/>
    <x v="13"/>
    <d v="2025-10-09T00:00:00"/>
    <d v="2025-10-14T00:00:00"/>
    <x v="0"/>
    <x v="0"/>
    <d v="2025-11-06T00:00:00"/>
    <n v="4"/>
    <n v="3"/>
    <n v="5"/>
    <x v="3"/>
  </r>
  <r>
    <x v="702"/>
    <x v="0"/>
    <x v="2"/>
    <x v="23"/>
    <x v="9"/>
    <d v="2025-10-26T00:00:00"/>
    <d v="2025-10-29T00:00:00"/>
    <x v="1"/>
    <x v="2"/>
    <m/>
    <n v="5"/>
    <n v="2"/>
    <n v="3"/>
    <x v="2"/>
  </r>
  <r>
    <x v="703"/>
    <x v="1"/>
    <x v="0"/>
    <x v="9"/>
    <x v="19"/>
    <d v="2025-10-18T00:00:00"/>
    <d v="2025-10-25T00:00:00"/>
    <x v="0"/>
    <x v="0"/>
    <d v="2025-11-22T00:00:00"/>
    <n v="1"/>
    <n v="5"/>
    <n v="7"/>
    <x v="0"/>
  </r>
  <r>
    <x v="704"/>
    <x v="3"/>
    <x v="0"/>
    <x v="15"/>
    <x v="12"/>
    <d v="2025-10-29T00:00:00"/>
    <d v="2025-11-04T00:00:00"/>
    <x v="0"/>
    <x v="0"/>
    <d v="2025-11-28T00:00:00"/>
    <n v="3"/>
    <n v="2"/>
    <n v="6"/>
    <x v="3"/>
  </r>
  <r>
    <x v="705"/>
    <x v="3"/>
    <x v="0"/>
    <x v="13"/>
    <x v="30"/>
    <d v="2025-10-13T00:00:00"/>
    <d v="2025-10-16T00:00:00"/>
    <x v="0"/>
    <x v="0"/>
    <d v="2025-10-30T00:00:00"/>
    <n v="3"/>
    <n v="5"/>
    <n v="3"/>
    <x v="0"/>
  </r>
  <r>
    <x v="706"/>
    <x v="2"/>
    <x v="0"/>
    <x v="25"/>
    <x v="15"/>
    <d v="2025-10-11T00:00:00"/>
    <d v="2025-10-14T00:00:00"/>
    <x v="0"/>
    <x v="0"/>
    <d v="2025-11-03T00:00:00"/>
    <n v="4"/>
    <n v="4"/>
    <n v="3"/>
    <x v="5"/>
  </r>
  <r>
    <x v="707"/>
    <x v="1"/>
    <x v="2"/>
    <x v="20"/>
    <x v="10"/>
    <d v="2025-11-06T00:00:00"/>
    <d v="2025-11-08T00:00:00"/>
    <x v="1"/>
    <x v="3"/>
    <m/>
    <n v="2"/>
    <n v="5"/>
    <n v="2"/>
    <x v="2"/>
  </r>
  <r>
    <x v="708"/>
    <x v="0"/>
    <x v="2"/>
    <x v="29"/>
    <x v="14"/>
    <d v="2025-10-18T00:00:00"/>
    <d v="2025-10-23T00:00:00"/>
    <x v="0"/>
    <x v="0"/>
    <d v="2025-11-07T00:00:00"/>
    <n v="5"/>
    <n v="3"/>
    <n v="5"/>
    <x v="0"/>
  </r>
  <r>
    <x v="709"/>
    <x v="1"/>
    <x v="0"/>
    <x v="1"/>
    <x v="1"/>
    <d v="2025-10-18T00:00:00"/>
    <d v="2025-10-20T00:00:00"/>
    <x v="0"/>
    <x v="0"/>
    <d v="2025-11-01T00:00:00"/>
    <n v="3"/>
    <n v="4"/>
    <n v="2"/>
    <x v="5"/>
  </r>
  <r>
    <x v="710"/>
    <x v="2"/>
    <x v="0"/>
    <x v="15"/>
    <x v="28"/>
    <d v="2025-10-30T00:00:00"/>
    <d v="2025-11-02T00:00:00"/>
    <x v="0"/>
    <x v="0"/>
    <d v="2025-11-27T00:00:00"/>
    <n v="4"/>
    <n v="2"/>
    <n v="3"/>
    <x v="1"/>
  </r>
  <r>
    <x v="711"/>
    <x v="2"/>
    <x v="0"/>
    <x v="4"/>
    <x v="24"/>
    <d v="2025-10-17T00:00:00"/>
    <d v="2025-10-23T00:00:00"/>
    <x v="0"/>
    <x v="0"/>
    <d v="2025-11-12T00:00:00"/>
    <n v="2"/>
    <n v="1"/>
    <n v="6"/>
    <x v="0"/>
  </r>
  <r>
    <x v="712"/>
    <x v="1"/>
    <x v="2"/>
    <x v="14"/>
    <x v="15"/>
    <d v="2025-10-12T00:00:00"/>
    <d v="2025-10-16T00:00:00"/>
    <x v="0"/>
    <x v="0"/>
    <d v="2025-11-15T00:00:00"/>
    <n v="1"/>
    <n v="5"/>
    <n v="4"/>
    <x v="7"/>
  </r>
  <r>
    <x v="713"/>
    <x v="1"/>
    <x v="0"/>
    <x v="28"/>
    <x v="27"/>
    <d v="2025-10-12T00:00:00"/>
    <d v="2025-10-19T00:00:00"/>
    <x v="0"/>
    <x v="0"/>
    <d v="2025-11-03T00:00:00"/>
    <n v="2"/>
    <n v="3"/>
    <n v="7"/>
    <x v="1"/>
  </r>
  <r>
    <x v="714"/>
    <x v="1"/>
    <x v="2"/>
    <x v="13"/>
    <x v="13"/>
    <d v="2025-10-07T00:00:00"/>
    <d v="2025-10-14T00:00:00"/>
    <x v="0"/>
    <x v="0"/>
    <d v="2025-11-03T00:00:00"/>
    <n v="1"/>
    <n v="1"/>
    <n v="7"/>
    <x v="11"/>
  </r>
  <r>
    <x v="715"/>
    <x v="3"/>
    <x v="2"/>
    <x v="19"/>
    <x v="11"/>
    <d v="2025-10-31T00:00:00"/>
    <d v="2025-11-02T00:00:00"/>
    <x v="0"/>
    <x v="0"/>
    <d v="2025-12-02T00:00:00"/>
    <n v="4"/>
    <n v="1"/>
    <n v="2"/>
    <x v="11"/>
  </r>
  <r>
    <x v="716"/>
    <x v="0"/>
    <x v="0"/>
    <x v="21"/>
    <x v="5"/>
    <d v="2025-10-24T00:00:00"/>
    <d v="2025-10-28T00:00:00"/>
    <x v="0"/>
    <x v="0"/>
    <d v="2025-11-08T00:00:00"/>
    <n v="2"/>
    <n v="4"/>
    <n v="4"/>
    <x v="3"/>
  </r>
  <r>
    <x v="717"/>
    <x v="1"/>
    <x v="2"/>
    <x v="10"/>
    <x v="34"/>
    <d v="2025-11-04T00:00:00"/>
    <d v="2025-11-06T00:00:00"/>
    <x v="0"/>
    <x v="0"/>
    <d v="2025-11-16T00:00:00"/>
    <n v="4"/>
    <n v="2"/>
    <n v="2"/>
    <x v="11"/>
  </r>
  <r>
    <x v="718"/>
    <x v="1"/>
    <x v="2"/>
    <x v="9"/>
    <x v="19"/>
    <d v="2025-10-14T00:00:00"/>
    <d v="2025-10-21T00:00:00"/>
    <x v="0"/>
    <x v="0"/>
    <d v="2025-11-14T00:00:00"/>
    <n v="1"/>
    <n v="1"/>
    <n v="7"/>
    <x v="0"/>
  </r>
  <r>
    <x v="719"/>
    <x v="1"/>
    <x v="0"/>
    <x v="16"/>
    <x v="5"/>
    <d v="2025-10-23T00:00:00"/>
    <d v="2025-10-28T00:00:00"/>
    <x v="0"/>
    <x v="0"/>
    <d v="2025-11-15T00:00:00"/>
    <n v="3"/>
    <n v="3"/>
    <n v="5"/>
    <x v="11"/>
  </r>
  <r>
    <x v="720"/>
    <x v="2"/>
    <x v="0"/>
    <x v="16"/>
    <x v="5"/>
    <d v="2025-10-25T00:00:00"/>
    <d v="2025-11-01T00:00:00"/>
    <x v="0"/>
    <x v="0"/>
    <d v="2025-11-17T00:00:00"/>
    <n v="3"/>
    <n v="5"/>
    <n v="7"/>
    <x v="8"/>
  </r>
  <r>
    <x v="721"/>
    <x v="2"/>
    <x v="0"/>
    <x v="20"/>
    <x v="4"/>
    <d v="2025-11-05T00:00:00"/>
    <d v="2025-11-12T00:00:00"/>
    <x v="0"/>
    <x v="0"/>
    <d v="2025-11-27T00:00:00"/>
    <n v="1"/>
    <n v="5"/>
    <n v="7"/>
    <x v="5"/>
  </r>
  <r>
    <x v="722"/>
    <x v="3"/>
    <x v="2"/>
    <x v="17"/>
    <x v="1"/>
    <d v="2025-10-19T00:00:00"/>
    <d v="2025-10-23T00:00:00"/>
    <x v="0"/>
    <x v="0"/>
    <d v="2025-11-20T00:00:00"/>
    <n v="5"/>
    <n v="5"/>
    <n v="4"/>
    <x v="9"/>
  </r>
  <r>
    <x v="723"/>
    <x v="0"/>
    <x v="2"/>
    <x v="5"/>
    <x v="10"/>
    <d v="2025-11-05T00:00:00"/>
    <d v="2025-11-07T00:00:00"/>
    <x v="0"/>
    <x v="0"/>
    <d v="2025-11-22T00:00:00"/>
    <n v="5"/>
    <n v="4"/>
    <n v="2"/>
    <x v="8"/>
  </r>
  <r>
    <x v="724"/>
    <x v="3"/>
    <x v="2"/>
    <x v="14"/>
    <x v="27"/>
    <d v="2025-10-12T00:00:00"/>
    <d v="2025-10-15T00:00:00"/>
    <x v="0"/>
    <x v="0"/>
    <d v="2025-11-09T00:00:00"/>
    <n v="3"/>
    <n v="3"/>
    <n v="3"/>
    <x v="4"/>
  </r>
  <r>
    <x v="725"/>
    <x v="0"/>
    <x v="2"/>
    <x v="17"/>
    <x v="20"/>
    <d v="2025-10-13T00:00:00"/>
    <d v="2025-10-19T00:00:00"/>
    <x v="0"/>
    <x v="0"/>
    <d v="2025-10-31T00:00:00"/>
    <n v="3"/>
    <n v="1"/>
    <n v="6"/>
    <x v="1"/>
  </r>
  <r>
    <x v="726"/>
    <x v="2"/>
    <x v="0"/>
    <x v="20"/>
    <x v="10"/>
    <d v="2025-11-04T00:00:00"/>
    <d v="2025-11-07T00:00:00"/>
    <x v="0"/>
    <x v="0"/>
    <d v="2025-11-21T00:00:00"/>
    <n v="2"/>
    <n v="3"/>
    <n v="3"/>
    <x v="4"/>
  </r>
  <r>
    <x v="727"/>
    <x v="2"/>
    <x v="1"/>
    <x v="5"/>
    <x v="2"/>
    <m/>
    <m/>
    <x v="1"/>
    <x v="3"/>
    <m/>
    <m/>
    <m/>
    <m/>
    <x v="2"/>
  </r>
  <r>
    <x v="728"/>
    <x v="2"/>
    <x v="0"/>
    <x v="8"/>
    <x v="34"/>
    <d v="2025-11-06T00:00:00"/>
    <d v="2025-11-11T00:00:00"/>
    <x v="0"/>
    <x v="0"/>
    <d v="2025-12-10T00:00:00"/>
    <n v="2"/>
    <n v="4"/>
    <n v="5"/>
    <x v="9"/>
  </r>
  <r>
    <x v="729"/>
    <x v="3"/>
    <x v="0"/>
    <x v="6"/>
    <x v="22"/>
    <d v="2025-10-23T00:00:00"/>
    <d v="2025-10-28T00:00:00"/>
    <x v="0"/>
    <x v="0"/>
    <d v="2025-11-20T00:00:00"/>
    <n v="3"/>
    <n v="4"/>
    <n v="5"/>
    <x v="3"/>
  </r>
  <r>
    <x v="730"/>
    <x v="1"/>
    <x v="0"/>
    <x v="8"/>
    <x v="32"/>
    <d v="2025-11-07T00:00:00"/>
    <d v="2025-11-09T00:00:00"/>
    <x v="0"/>
    <x v="0"/>
    <d v="2025-12-09T00:00:00"/>
    <n v="5"/>
    <n v="2"/>
    <n v="2"/>
    <x v="10"/>
  </r>
  <r>
    <x v="731"/>
    <x v="1"/>
    <x v="0"/>
    <x v="19"/>
    <x v="28"/>
    <d v="2025-10-31T00:00:00"/>
    <d v="2025-11-03T00:00:00"/>
    <x v="0"/>
    <x v="0"/>
    <d v="2025-11-26T00:00:00"/>
    <n v="2"/>
    <n v="3"/>
    <n v="3"/>
    <x v="1"/>
  </r>
  <r>
    <x v="732"/>
    <x v="2"/>
    <x v="0"/>
    <x v="29"/>
    <x v="17"/>
    <d v="2025-10-16T00:00:00"/>
    <d v="2025-10-23T00:00:00"/>
    <x v="0"/>
    <x v="0"/>
    <d v="2025-11-14T00:00:00"/>
    <n v="1"/>
    <n v="5"/>
    <n v="7"/>
    <x v="5"/>
  </r>
  <r>
    <x v="733"/>
    <x v="1"/>
    <x v="0"/>
    <x v="15"/>
    <x v="25"/>
    <d v="2025-10-30T00:00:00"/>
    <d v="2025-11-03T00:00:00"/>
    <x v="0"/>
    <x v="0"/>
    <d v="2025-11-26T00:00:00"/>
    <n v="2"/>
    <n v="4"/>
    <n v="4"/>
    <x v="8"/>
  </r>
  <r>
    <x v="734"/>
    <x v="1"/>
    <x v="0"/>
    <x v="3"/>
    <x v="11"/>
    <d v="2025-11-03T00:00:00"/>
    <d v="2025-11-05T00:00:00"/>
    <x v="0"/>
    <x v="0"/>
    <d v="2025-11-30T00:00:00"/>
    <n v="2"/>
    <n v="4"/>
    <n v="2"/>
    <x v="8"/>
  </r>
  <r>
    <x v="735"/>
    <x v="3"/>
    <x v="2"/>
    <x v="1"/>
    <x v="19"/>
    <d v="2025-10-15T00:00:00"/>
    <d v="2025-10-17T00:00:00"/>
    <x v="0"/>
    <x v="0"/>
    <d v="2025-11-08T00:00:00"/>
    <n v="2"/>
    <n v="2"/>
    <n v="2"/>
    <x v="3"/>
  </r>
  <r>
    <x v="736"/>
    <x v="0"/>
    <x v="0"/>
    <x v="19"/>
    <x v="11"/>
    <d v="2025-11-04T00:00:00"/>
    <d v="2025-11-07T00:00:00"/>
    <x v="0"/>
    <x v="0"/>
    <d v="2025-11-17T00:00:00"/>
    <n v="4"/>
    <n v="5"/>
    <n v="3"/>
    <x v="6"/>
  </r>
  <r>
    <x v="737"/>
    <x v="2"/>
    <x v="1"/>
    <x v="7"/>
    <x v="2"/>
    <m/>
    <m/>
    <x v="1"/>
    <x v="2"/>
    <m/>
    <m/>
    <m/>
    <m/>
    <x v="2"/>
  </r>
  <r>
    <x v="738"/>
    <x v="2"/>
    <x v="2"/>
    <x v="11"/>
    <x v="24"/>
    <d v="2025-10-20T00:00:00"/>
    <d v="2025-10-26T00:00:00"/>
    <x v="0"/>
    <x v="0"/>
    <d v="2025-11-06T00:00:00"/>
    <n v="1"/>
    <n v="4"/>
    <n v="6"/>
    <x v="11"/>
  </r>
  <r>
    <x v="739"/>
    <x v="3"/>
    <x v="2"/>
    <x v="8"/>
    <x v="35"/>
    <d v="2025-11-04T00:00:00"/>
    <d v="2025-11-09T00:00:00"/>
    <x v="0"/>
    <x v="0"/>
    <d v="2025-12-06T00:00:00"/>
    <n v="3"/>
    <n v="1"/>
    <n v="5"/>
    <x v="11"/>
  </r>
  <r>
    <x v="740"/>
    <x v="3"/>
    <x v="0"/>
    <x v="25"/>
    <x v="30"/>
    <d v="2025-10-13T00:00:00"/>
    <d v="2025-10-20T00:00:00"/>
    <x v="0"/>
    <x v="0"/>
    <d v="2025-11-05T00:00:00"/>
    <n v="5"/>
    <n v="5"/>
    <n v="7"/>
    <x v="10"/>
  </r>
  <r>
    <x v="741"/>
    <x v="1"/>
    <x v="0"/>
    <x v="13"/>
    <x v="21"/>
    <d v="2025-10-13T00:00:00"/>
    <d v="2025-10-17T00:00:00"/>
    <x v="0"/>
    <x v="0"/>
    <d v="2025-11-07T00:00:00"/>
    <n v="5"/>
    <n v="3"/>
    <n v="4"/>
    <x v="0"/>
  </r>
  <r>
    <x v="742"/>
    <x v="2"/>
    <x v="0"/>
    <x v="22"/>
    <x v="28"/>
    <d v="2025-10-30T00:00:00"/>
    <d v="2025-11-04T00:00:00"/>
    <x v="0"/>
    <x v="0"/>
    <d v="2025-11-14T00:00:00"/>
    <n v="3"/>
    <n v="2"/>
    <n v="5"/>
    <x v="0"/>
  </r>
  <r>
    <x v="743"/>
    <x v="0"/>
    <x v="0"/>
    <x v="8"/>
    <x v="8"/>
    <d v="2025-11-05T00:00:00"/>
    <d v="2025-11-12T00:00:00"/>
    <x v="0"/>
    <x v="0"/>
    <d v="2025-12-02T00:00:00"/>
    <n v="4"/>
    <n v="1"/>
    <n v="7"/>
    <x v="10"/>
  </r>
  <r>
    <x v="744"/>
    <x v="3"/>
    <x v="2"/>
    <x v="24"/>
    <x v="19"/>
    <d v="2025-10-14T00:00:00"/>
    <d v="2025-10-16T00:00:00"/>
    <x v="0"/>
    <x v="0"/>
    <d v="2025-11-11T00:00:00"/>
    <n v="5"/>
    <n v="1"/>
    <n v="2"/>
    <x v="7"/>
  </r>
  <r>
    <x v="745"/>
    <x v="0"/>
    <x v="0"/>
    <x v="3"/>
    <x v="11"/>
    <d v="2025-11-02T00:00:00"/>
    <d v="2025-11-08T00:00:00"/>
    <x v="0"/>
    <x v="0"/>
    <d v="2025-11-24T00:00:00"/>
    <n v="2"/>
    <n v="3"/>
    <n v="6"/>
    <x v="3"/>
  </r>
  <r>
    <x v="746"/>
    <x v="0"/>
    <x v="0"/>
    <x v="26"/>
    <x v="12"/>
    <d v="2025-10-29T00:00:00"/>
    <d v="2025-10-31T00:00:00"/>
    <x v="1"/>
    <x v="5"/>
    <m/>
    <n v="5"/>
    <n v="2"/>
    <n v="2"/>
    <x v="2"/>
  </r>
  <r>
    <x v="747"/>
    <x v="2"/>
    <x v="1"/>
    <x v="15"/>
    <x v="2"/>
    <m/>
    <m/>
    <x v="1"/>
    <x v="4"/>
    <m/>
    <m/>
    <m/>
    <m/>
    <x v="2"/>
  </r>
  <r>
    <x v="748"/>
    <x v="2"/>
    <x v="0"/>
    <x v="26"/>
    <x v="18"/>
    <d v="2025-10-27T00:00:00"/>
    <d v="2025-11-02T00:00:00"/>
    <x v="0"/>
    <x v="0"/>
    <d v="2025-11-12T00:00:00"/>
    <n v="1"/>
    <n v="4"/>
    <n v="6"/>
    <x v="11"/>
  </r>
  <r>
    <x v="749"/>
    <x v="3"/>
    <x v="2"/>
    <x v="27"/>
    <x v="1"/>
    <d v="2025-10-16T00:00:00"/>
    <d v="2025-10-19T00:00:00"/>
    <x v="0"/>
    <x v="0"/>
    <d v="2025-10-29T00:00:00"/>
    <n v="1"/>
    <n v="2"/>
    <n v="3"/>
    <x v="6"/>
  </r>
  <r>
    <x v="750"/>
    <x v="2"/>
    <x v="2"/>
    <x v="8"/>
    <x v="35"/>
    <d v="2025-11-07T00:00:00"/>
    <d v="2025-11-14T00:00:00"/>
    <x v="0"/>
    <x v="0"/>
    <d v="2025-12-14T00:00:00"/>
    <n v="3"/>
    <n v="4"/>
    <n v="7"/>
    <x v="11"/>
  </r>
  <r>
    <x v="751"/>
    <x v="2"/>
    <x v="2"/>
    <x v="3"/>
    <x v="10"/>
    <d v="2025-11-04T00:00:00"/>
    <d v="2025-11-09T00:00:00"/>
    <x v="0"/>
    <x v="0"/>
    <d v="2025-11-26T00:00:00"/>
    <n v="4"/>
    <n v="3"/>
    <n v="5"/>
    <x v="8"/>
  </r>
  <r>
    <x v="752"/>
    <x v="2"/>
    <x v="0"/>
    <x v="19"/>
    <x v="11"/>
    <d v="2025-11-02T00:00:00"/>
    <d v="2025-11-04T00:00:00"/>
    <x v="0"/>
    <x v="0"/>
    <d v="2025-11-21T00:00:00"/>
    <n v="4"/>
    <n v="3"/>
    <n v="2"/>
    <x v="8"/>
  </r>
  <r>
    <x v="753"/>
    <x v="0"/>
    <x v="2"/>
    <x v="21"/>
    <x v="18"/>
    <d v="2025-10-24T00:00:00"/>
    <d v="2025-10-30T00:00:00"/>
    <x v="0"/>
    <x v="0"/>
    <d v="2025-11-20T00:00:00"/>
    <n v="5"/>
    <n v="1"/>
    <n v="6"/>
    <x v="3"/>
  </r>
  <r>
    <x v="754"/>
    <x v="3"/>
    <x v="0"/>
    <x v="9"/>
    <x v="24"/>
    <d v="2025-10-17T00:00:00"/>
    <d v="2025-10-23T00:00:00"/>
    <x v="0"/>
    <x v="0"/>
    <d v="2025-11-11T00:00:00"/>
    <n v="4"/>
    <n v="1"/>
    <n v="6"/>
    <x v="5"/>
  </r>
  <r>
    <x v="755"/>
    <x v="1"/>
    <x v="0"/>
    <x v="25"/>
    <x v="15"/>
    <d v="2025-10-08T00:00:00"/>
    <d v="2025-10-10T00:00:00"/>
    <x v="0"/>
    <x v="0"/>
    <d v="2025-10-24T00:00:00"/>
    <n v="4"/>
    <n v="1"/>
    <n v="2"/>
    <x v="7"/>
  </r>
  <r>
    <x v="756"/>
    <x v="0"/>
    <x v="2"/>
    <x v="19"/>
    <x v="4"/>
    <d v="2025-11-03T00:00:00"/>
    <d v="2025-11-08T00:00:00"/>
    <x v="0"/>
    <x v="0"/>
    <d v="2025-11-21T00:00:00"/>
    <n v="5"/>
    <n v="3"/>
    <n v="5"/>
    <x v="11"/>
  </r>
  <r>
    <x v="757"/>
    <x v="2"/>
    <x v="2"/>
    <x v="27"/>
    <x v="1"/>
    <d v="2025-10-18T00:00:00"/>
    <d v="2025-10-25T00:00:00"/>
    <x v="0"/>
    <x v="0"/>
    <d v="2025-11-16T00:00:00"/>
    <n v="1"/>
    <n v="4"/>
    <n v="7"/>
    <x v="5"/>
  </r>
  <r>
    <x v="758"/>
    <x v="0"/>
    <x v="2"/>
    <x v="2"/>
    <x v="33"/>
    <d v="2025-10-06T00:00:00"/>
    <d v="2025-10-09T00:00:00"/>
    <x v="0"/>
    <x v="0"/>
    <d v="2025-11-04T00:00:00"/>
    <n v="2"/>
    <n v="3"/>
    <n v="3"/>
    <x v="5"/>
  </r>
  <r>
    <x v="759"/>
    <x v="2"/>
    <x v="1"/>
    <x v="17"/>
    <x v="2"/>
    <m/>
    <m/>
    <x v="1"/>
    <x v="4"/>
    <m/>
    <m/>
    <m/>
    <m/>
    <x v="2"/>
  </r>
  <r>
    <x v="760"/>
    <x v="2"/>
    <x v="2"/>
    <x v="21"/>
    <x v="16"/>
    <d v="2025-10-24T00:00:00"/>
    <d v="2025-10-27T00:00:00"/>
    <x v="0"/>
    <x v="0"/>
    <d v="2025-11-24T00:00:00"/>
    <n v="3"/>
    <n v="3"/>
    <n v="3"/>
    <x v="0"/>
  </r>
  <r>
    <x v="761"/>
    <x v="0"/>
    <x v="0"/>
    <x v="7"/>
    <x v="6"/>
    <d v="2025-10-06T00:00:00"/>
    <d v="2025-10-10T00:00:00"/>
    <x v="0"/>
    <x v="0"/>
    <d v="2025-10-29T00:00:00"/>
    <n v="1"/>
    <n v="1"/>
    <n v="4"/>
    <x v="1"/>
  </r>
  <r>
    <x v="762"/>
    <x v="3"/>
    <x v="1"/>
    <x v="11"/>
    <x v="2"/>
    <m/>
    <m/>
    <x v="1"/>
    <x v="3"/>
    <m/>
    <m/>
    <m/>
    <m/>
    <x v="2"/>
  </r>
  <r>
    <x v="763"/>
    <x v="2"/>
    <x v="0"/>
    <x v="9"/>
    <x v="24"/>
    <d v="2025-10-18T00:00:00"/>
    <d v="2025-10-22T00:00:00"/>
    <x v="1"/>
    <x v="4"/>
    <m/>
    <n v="4"/>
    <n v="2"/>
    <n v="4"/>
    <x v="2"/>
  </r>
  <r>
    <x v="764"/>
    <x v="3"/>
    <x v="1"/>
    <x v="26"/>
    <x v="2"/>
    <m/>
    <m/>
    <x v="1"/>
    <x v="2"/>
    <m/>
    <m/>
    <m/>
    <m/>
    <x v="2"/>
  </r>
  <r>
    <x v="765"/>
    <x v="1"/>
    <x v="0"/>
    <x v="15"/>
    <x v="28"/>
    <d v="2025-10-29T00:00:00"/>
    <d v="2025-11-02T00:00:00"/>
    <x v="0"/>
    <x v="0"/>
    <d v="2025-11-17T00:00:00"/>
    <n v="4"/>
    <n v="1"/>
    <n v="4"/>
    <x v="10"/>
  </r>
  <r>
    <x v="766"/>
    <x v="2"/>
    <x v="1"/>
    <x v="26"/>
    <x v="2"/>
    <m/>
    <m/>
    <x v="1"/>
    <x v="5"/>
    <m/>
    <m/>
    <m/>
    <m/>
    <x v="2"/>
  </r>
  <r>
    <x v="767"/>
    <x v="3"/>
    <x v="2"/>
    <x v="17"/>
    <x v="1"/>
    <d v="2025-10-16T00:00:00"/>
    <d v="2025-10-21T00:00:00"/>
    <x v="0"/>
    <x v="0"/>
    <d v="2025-11-02T00:00:00"/>
    <n v="5"/>
    <n v="2"/>
    <n v="5"/>
    <x v="6"/>
  </r>
  <r>
    <x v="768"/>
    <x v="3"/>
    <x v="2"/>
    <x v="23"/>
    <x v="31"/>
    <d v="2025-10-26T00:00:00"/>
    <d v="2025-11-02T00:00:00"/>
    <x v="0"/>
    <x v="0"/>
    <d v="2025-11-13T00:00:00"/>
    <n v="3"/>
    <n v="4"/>
    <n v="7"/>
    <x v="8"/>
  </r>
  <r>
    <x v="769"/>
    <x v="1"/>
    <x v="0"/>
    <x v="27"/>
    <x v="14"/>
    <d v="2025-10-19T00:00:00"/>
    <d v="2025-10-26T00:00:00"/>
    <x v="0"/>
    <x v="0"/>
    <d v="2025-11-14T00:00:00"/>
    <n v="2"/>
    <n v="4"/>
    <n v="7"/>
    <x v="6"/>
  </r>
  <r>
    <x v="770"/>
    <x v="3"/>
    <x v="1"/>
    <x v="5"/>
    <x v="2"/>
    <m/>
    <m/>
    <x v="1"/>
    <x v="2"/>
    <m/>
    <m/>
    <m/>
    <m/>
    <x v="2"/>
  </r>
  <r>
    <x v="771"/>
    <x v="3"/>
    <x v="1"/>
    <x v="0"/>
    <x v="2"/>
    <m/>
    <m/>
    <x v="1"/>
    <x v="1"/>
    <m/>
    <m/>
    <m/>
    <m/>
    <x v="2"/>
  </r>
  <r>
    <x v="772"/>
    <x v="1"/>
    <x v="2"/>
    <x v="8"/>
    <x v="32"/>
    <d v="2025-11-10T00:00:00"/>
    <d v="2025-11-14T00:00:00"/>
    <x v="0"/>
    <x v="0"/>
    <d v="2025-12-03T00:00:00"/>
    <n v="5"/>
    <n v="5"/>
    <n v="4"/>
    <x v="8"/>
  </r>
  <r>
    <x v="773"/>
    <x v="2"/>
    <x v="2"/>
    <x v="9"/>
    <x v="7"/>
    <d v="2025-10-22T00:00:00"/>
    <d v="2025-10-26T00:00:00"/>
    <x v="0"/>
    <x v="0"/>
    <d v="2025-11-19T00:00:00"/>
    <n v="5"/>
    <n v="5"/>
    <n v="4"/>
    <x v="10"/>
  </r>
  <r>
    <x v="774"/>
    <x v="3"/>
    <x v="1"/>
    <x v="7"/>
    <x v="2"/>
    <m/>
    <m/>
    <x v="1"/>
    <x v="3"/>
    <m/>
    <m/>
    <m/>
    <m/>
    <x v="2"/>
  </r>
  <r>
    <x v="775"/>
    <x v="3"/>
    <x v="2"/>
    <x v="26"/>
    <x v="9"/>
    <d v="2025-10-29T00:00:00"/>
    <d v="2025-11-03T00:00:00"/>
    <x v="0"/>
    <x v="0"/>
    <d v="2025-11-29T00:00:00"/>
    <n v="2"/>
    <n v="5"/>
    <n v="5"/>
    <x v="4"/>
  </r>
  <r>
    <x v="776"/>
    <x v="3"/>
    <x v="0"/>
    <x v="24"/>
    <x v="21"/>
    <d v="2025-10-14T00:00:00"/>
    <d v="2025-10-18T00:00:00"/>
    <x v="0"/>
    <x v="0"/>
    <d v="2025-11-16T00:00:00"/>
    <n v="2"/>
    <n v="4"/>
    <n v="4"/>
    <x v="10"/>
  </r>
  <r>
    <x v="777"/>
    <x v="0"/>
    <x v="1"/>
    <x v="6"/>
    <x v="2"/>
    <m/>
    <m/>
    <x v="1"/>
    <x v="4"/>
    <m/>
    <m/>
    <m/>
    <m/>
    <x v="2"/>
  </r>
  <r>
    <x v="778"/>
    <x v="1"/>
    <x v="0"/>
    <x v="2"/>
    <x v="6"/>
    <d v="2025-10-06T00:00:00"/>
    <d v="2025-10-09T00:00:00"/>
    <x v="0"/>
    <x v="0"/>
    <d v="2025-11-04T00:00:00"/>
    <n v="4"/>
    <n v="1"/>
    <n v="3"/>
    <x v="9"/>
  </r>
  <r>
    <x v="779"/>
    <x v="0"/>
    <x v="0"/>
    <x v="18"/>
    <x v="0"/>
    <d v="2025-10-26T00:00:00"/>
    <d v="2025-10-28T00:00:00"/>
    <x v="0"/>
    <x v="0"/>
    <d v="2025-11-17T00:00:00"/>
    <n v="5"/>
    <n v="1"/>
    <n v="2"/>
    <x v="0"/>
  </r>
  <r>
    <x v="780"/>
    <x v="1"/>
    <x v="0"/>
    <x v="10"/>
    <x v="11"/>
    <d v="2025-10-31T00:00:00"/>
    <d v="2025-11-03T00:00:00"/>
    <x v="0"/>
    <x v="0"/>
    <d v="2025-11-26T00:00:00"/>
    <n v="1"/>
    <n v="1"/>
    <n v="3"/>
    <x v="0"/>
  </r>
  <r>
    <x v="781"/>
    <x v="2"/>
    <x v="2"/>
    <x v="8"/>
    <x v="10"/>
    <d v="2025-11-04T00:00:00"/>
    <d v="2025-11-07T00:00:00"/>
    <x v="0"/>
    <x v="0"/>
    <d v="2025-11-21T00:00:00"/>
    <n v="1"/>
    <n v="3"/>
    <n v="3"/>
    <x v="8"/>
  </r>
  <r>
    <x v="782"/>
    <x v="2"/>
    <x v="1"/>
    <x v="21"/>
    <x v="2"/>
    <m/>
    <m/>
    <x v="1"/>
    <x v="1"/>
    <m/>
    <m/>
    <m/>
    <m/>
    <x v="2"/>
  </r>
  <r>
    <x v="783"/>
    <x v="3"/>
    <x v="0"/>
    <x v="1"/>
    <x v="24"/>
    <d v="2025-10-21T00:00:00"/>
    <d v="2025-10-27T00:00:00"/>
    <x v="0"/>
    <x v="0"/>
    <d v="2025-11-16T00:00:00"/>
    <n v="5"/>
    <n v="5"/>
    <n v="6"/>
    <x v="3"/>
  </r>
  <r>
    <x v="784"/>
    <x v="1"/>
    <x v="1"/>
    <x v="20"/>
    <x v="2"/>
    <m/>
    <m/>
    <x v="1"/>
    <x v="4"/>
    <m/>
    <m/>
    <m/>
    <m/>
    <x v="2"/>
  </r>
  <r>
    <x v="785"/>
    <x v="2"/>
    <x v="2"/>
    <x v="18"/>
    <x v="31"/>
    <d v="2025-10-23T00:00:00"/>
    <d v="2025-10-25T00:00:00"/>
    <x v="0"/>
    <x v="0"/>
    <d v="2025-11-19T00:00:00"/>
    <n v="2"/>
    <n v="1"/>
    <n v="2"/>
    <x v="11"/>
  </r>
  <r>
    <x v="786"/>
    <x v="1"/>
    <x v="1"/>
    <x v="24"/>
    <x v="2"/>
    <m/>
    <m/>
    <x v="1"/>
    <x v="5"/>
    <m/>
    <m/>
    <m/>
    <m/>
    <x v="2"/>
  </r>
  <r>
    <x v="787"/>
    <x v="2"/>
    <x v="0"/>
    <x v="0"/>
    <x v="9"/>
    <d v="2025-10-29T00:00:00"/>
    <d v="2025-11-01T00:00:00"/>
    <x v="0"/>
    <x v="0"/>
    <d v="2025-11-22T00:00:00"/>
    <n v="3"/>
    <n v="5"/>
    <n v="3"/>
    <x v="9"/>
  </r>
  <r>
    <x v="788"/>
    <x v="0"/>
    <x v="2"/>
    <x v="25"/>
    <x v="6"/>
    <d v="2025-10-10T00:00:00"/>
    <d v="2025-10-12T00:00:00"/>
    <x v="0"/>
    <x v="0"/>
    <d v="2025-10-28T00:00:00"/>
    <n v="2"/>
    <n v="5"/>
    <n v="2"/>
    <x v="9"/>
  </r>
  <r>
    <x v="789"/>
    <x v="2"/>
    <x v="2"/>
    <x v="0"/>
    <x v="18"/>
    <d v="2025-10-26T00:00:00"/>
    <d v="2025-10-29T00:00:00"/>
    <x v="0"/>
    <x v="0"/>
    <d v="2025-11-13T00:00:00"/>
    <n v="2"/>
    <n v="3"/>
    <n v="3"/>
    <x v="9"/>
  </r>
  <r>
    <x v="790"/>
    <x v="0"/>
    <x v="0"/>
    <x v="5"/>
    <x v="11"/>
    <d v="2025-11-03T00:00:00"/>
    <d v="2025-11-08T00:00:00"/>
    <x v="0"/>
    <x v="0"/>
    <d v="2025-11-30T00:00:00"/>
    <n v="3"/>
    <n v="4"/>
    <n v="5"/>
    <x v="7"/>
  </r>
  <r>
    <x v="791"/>
    <x v="2"/>
    <x v="0"/>
    <x v="11"/>
    <x v="7"/>
    <d v="2025-10-18T00:00:00"/>
    <d v="2025-10-23T00:00:00"/>
    <x v="0"/>
    <x v="0"/>
    <d v="2025-11-02T00:00:00"/>
    <n v="2"/>
    <n v="1"/>
    <n v="5"/>
    <x v="1"/>
  </r>
  <r>
    <x v="792"/>
    <x v="3"/>
    <x v="1"/>
    <x v="20"/>
    <x v="2"/>
    <m/>
    <m/>
    <x v="1"/>
    <x v="5"/>
    <m/>
    <m/>
    <m/>
    <m/>
    <x v="2"/>
  </r>
  <r>
    <x v="793"/>
    <x v="0"/>
    <x v="2"/>
    <x v="12"/>
    <x v="25"/>
    <d v="2025-10-29T00:00:00"/>
    <d v="2025-11-02T00:00:00"/>
    <x v="0"/>
    <x v="0"/>
    <d v="2025-11-19T00:00:00"/>
    <n v="3"/>
    <n v="3"/>
    <n v="4"/>
    <x v="10"/>
  </r>
  <r>
    <x v="794"/>
    <x v="2"/>
    <x v="2"/>
    <x v="29"/>
    <x v="14"/>
    <d v="2025-10-19T00:00:00"/>
    <d v="2025-10-24T00:00:00"/>
    <x v="0"/>
    <x v="0"/>
    <d v="2025-11-10T00:00:00"/>
    <n v="5"/>
    <n v="4"/>
    <n v="5"/>
    <x v="4"/>
  </r>
  <r>
    <x v="795"/>
    <x v="3"/>
    <x v="0"/>
    <x v="0"/>
    <x v="9"/>
    <d v="2025-10-28T00:00:00"/>
    <d v="2025-10-30T00:00:00"/>
    <x v="0"/>
    <x v="0"/>
    <d v="2025-11-13T00:00:00"/>
    <n v="3"/>
    <n v="4"/>
    <n v="2"/>
    <x v="8"/>
  </r>
  <r>
    <x v="796"/>
    <x v="0"/>
    <x v="0"/>
    <x v="4"/>
    <x v="14"/>
    <d v="2025-10-16T00:00:00"/>
    <d v="2025-10-22T00:00:00"/>
    <x v="0"/>
    <x v="0"/>
    <d v="2025-11-07T00:00:00"/>
    <n v="1"/>
    <n v="1"/>
    <n v="6"/>
    <x v="1"/>
  </r>
  <r>
    <x v="797"/>
    <x v="3"/>
    <x v="0"/>
    <x v="7"/>
    <x v="15"/>
    <d v="2025-10-12T00:00:00"/>
    <d v="2025-10-16T00:00:00"/>
    <x v="0"/>
    <x v="0"/>
    <d v="2025-10-26T00:00:00"/>
    <n v="3"/>
    <n v="5"/>
    <n v="4"/>
    <x v="11"/>
  </r>
  <r>
    <x v="798"/>
    <x v="1"/>
    <x v="1"/>
    <x v="13"/>
    <x v="2"/>
    <m/>
    <m/>
    <x v="1"/>
    <x v="5"/>
    <m/>
    <m/>
    <m/>
    <m/>
    <x v="2"/>
  </r>
  <r>
    <x v="799"/>
    <x v="1"/>
    <x v="1"/>
    <x v="30"/>
    <x v="2"/>
    <m/>
    <m/>
    <x v="1"/>
    <x v="4"/>
    <m/>
    <m/>
    <m/>
    <m/>
    <x v="2"/>
  </r>
  <r>
    <x v="800"/>
    <x v="0"/>
    <x v="1"/>
    <x v="8"/>
    <x v="2"/>
    <m/>
    <m/>
    <x v="1"/>
    <x v="1"/>
    <m/>
    <m/>
    <m/>
    <m/>
    <x v="2"/>
  </r>
  <r>
    <x v="801"/>
    <x v="2"/>
    <x v="0"/>
    <x v="30"/>
    <x v="26"/>
    <d v="2025-10-06T00:00:00"/>
    <d v="2025-10-09T00:00:00"/>
    <x v="1"/>
    <x v="5"/>
    <m/>
    <n v="2"/>
    <n v="2"/>
    <n v="3"/>
    <x v="2"/>
  </r>
  <r>
    <x v="802"/>
    <x v="0"/>
    <x v="0"/>
    <x v="29"/>
    <x v="14"/>
    <d v="2025-10-20T00:00:00"/>
    <d v="2025-10-25T00:00:00"/>
    <x v="0"/>
    <x v="0"/>
    <d v="2025-11-22T00:00:00"/>
    <n v="5"/>
    <n v="5"/>
    <n v="5"/>
    <x v="4"/>
  </r>
  <r>
    <x v="803"/>
    <x v="3"/>
    <x v="0"/>
    <x v="6"/>
    <x v="22"/>
    <d v="2025-10-24T00:00:00"/>
    <d v="2025-10-28T00:00:00"/>
    <x v="0"/>
    <x v="0"/>
    <d v="2025-11-23T00:00:00"/>
    <n v="3"/>
    <n v="5"/>
    <n v="4"/>
    <x v="10"/>
  </r>
  <r>
    <x v="804"/>
    <x v="2"/>
    <x v="0"/>
    <x v="7"/>
    <x v="13"/>
    <d v="2025-10-08T00:00:00"/>
    <d v="2025-10-13T00:00:00"/>
    <x v="0"/>
    <x v="0"/>
    <d v="2025-10-28T00:00:00"/>
    <n v="2"/>
    <n v="2"/>
    <n v="5"/>
    <x v="3"/>
  </r>
  <r>
    <x v="805"/>
    <x v="1"/>
    <x v="1"/>
    <x v="7"/>
    <x v="2"/>
    <m/>
    <m/>
    <x v="1"/>
    <x v="1"/>
    <m/>
    <m/>
    <m/>
    <m/>
    <x v="2"/>
  </r>
  <r>
    <x v="806"/>
    <x v="2"/>
    <x v="2"/>
    <x v="24"/>
    <x v="17"/>
    <d v="2025-10-15T00:00:00"/>
    <d v="2025-10-19T00:00:00"/>
    <x v="0"/>
    <x v="0"/>
    <d v="2025-11-01T00:00:00"/>
    <n v="3"/>
    <n v="4"/>
    <n v="4"/>
    <x v="9"/>
  </r>
  <r>
    <x v="807"/>
    <x v="1"/>
    <x v="0"/>
    <x v="10"/>
    <x v="35"/>
    <d v="2025-11-05T00:00:00"/>
    <d v="2025-11-07T00:00:00"/>
    <x v="0"/>
    <x v="0"/>
    <d v="2025-11-28T00:00:00"/>
    <n v="5"/>
    <n v="2"/>
    <n v="2"/>
    <x v="0"/>
  </r>
  <r>
    <x v="808"/>
    <x v="2"/>
    <x v="2"/>
    <x v="21"/>
    <x v="18"/>
    <d v="2025-10-25T00:00:00"/>
    <d v="2025-10-27T00:00:00"/>
    <x v="0"/>
    <x v="0"/>
    <d v="2025-11-26T00:00:00"/>
    <n v="5"/>
    <n v="2"/>
    <n v="2"/>
    <x v="7"/>
  </r>
  <r>
    <x v="809"/>
    <x v="2"/>
    <x v="0"/>
    <x v="13"/>
    <x v="13"/>
    <d v="2025-10-09T00:00:00"/>
    <d v="2025-10-12T00:00:00"/>
    <x v="0"/>
    <x v="0"/>
    <d v="2025-10-23T00:00:00"/>
    <n v="1"/>
    <n v="3"/>
    <n v="3"/>
    <x v="10"/>
  </r>
  <r>
    <x v="810"/>
    <x v="2"/>
    <x v="1"/>
    <x v="27"/>
    <x v="2"/>
    <m/>
    <m/>
    <x v="1"/>
    <x v="4"/>
    <m/>
    <m/>
    <m/>
    <m/>
    <x v="2"/>
  </r>
  <r>
    <x v="811"/>
    <x v="3"/>
    <x v="0"/>
    <x v="11"/>
    <x v="5"/>
    <d v="2025-10-23T00:00:00"/>
    <d v="2025-10-30T00:00:00"/>
    <x v="0"/>
    <x v="0"/>
    <d v="2025-11-21T00:00:00"/>
    <n v="5"/>
    <n v="3"/>
    <n v="7"/>
    <x v="11"/>
  </r>
  <r>
    <x v="812"/>
    <x v="3"/>
    <x v="2"/>
    <x v="9"/>
    <x v="1"/>
    <d v="2025-10-17T00:00:00"/>
    <d v="2025-10-21T00:00:00"/>
    <x v="0"/>
    <x v="0"/>
    <d v="2025-11-20T00:00:00"/>
    <n v="2"/>
    <n v="3"/>
    <n v="4"/>
    <x v="9"/>
  </r>
  <r>
    <x v="813"/>
    <x v="0"/>
    <x v="1"/>
    <x v="26"/>
    <x v="2"/>
    <m/>
    <m/>
    <x v="1"/>
    <x v="1"/>
    <m/>
    <m/>
    <m/>
    <m/>
    <x v="2"/>
  </r>
  <r>
    <x v="814"/>
    <x v="0"/>
    <x v="0"/>
    <x v="8"/>
    <x v="32"/>
    <d v="2025-11-09T00:00:00"/>
    <d v="2025-11-16T00:00:00"/>
    <x v="0"/>
    <x v="0"/>
    <d v="2025-12-04T00:00:00"/>
    <n v="5"/>
    <n v="4"/>
    <n v="7"/>
    <x v="0"/>
  </r>
  <r>
    <x v="815"/>
    <x v="1"/>
    <x v="2"/>
    <x v="15"/>
    <x v="23"/>
    <d v="2025-10-31T00:00:00"/>
    <d v="2025-11-07T00:00:00"/>
    <x v="0"/>
    <x v="0"/>
    <d v="2025-12-04T00:00:00"/>
    <n v="5"/>
    <n v="2"/>
    <n v="7"/>
    <x v="7"/>
  </r>
  <r>
    <x v="816"/>
    <x v="3"/>
    <x v="2"/>
    <x v="12"/>
    <x v="0"/>
    <d v="2025-10-26T00:00:00"/>
    <d v="2025-11-01T00:00:00"/>
    <x v="1"/>
    <x v="4"/>
    <m/>
    <n v="2"/>
    <n v="1"/>
    <n v="6"/>
    <x v="2"/>
  </r>
  <r>
    <x v="817"/>
    <x v="1"/>
    <x v="2"/>
    <x v="8"/>
    <x v="34"/>
    <d v="2025-11-04T00:00:00"/>
    <d v="2025-11-06T00:00:00"/>
    <x v="0"/>
    <x v="0"/>
    <d v="2025-12-05T00:00:00"/>
    <n v="2"/>
    <n v="2"/>
    <n v="2"/>
    <x v="1"/>
  </r>
  <r>
    <x v="818"/>
    <x v="0"/>
    <x v="2"/>
    <x v="21"/>
    <x v="18"/>
    <d v="2025-10-27T00:00:00"/>
    <d v="2025-10-30T00:00:00"/>
    <x v="0"/>
    <x v="0"/>
    <d v="2025-11-10T00:00:00"/>
    <n v="5"/>
    <n v="4"/>
    <n v="3"/>
    <x v="1"/>
  </r>
  <r>
    <x v="819"/>
    <x v="1"/>
    <x v="1"/>
    <x v="4"/>
    <x v="2"/>
    <m/>
    <m/>
    <x v="1"/>
    <x v="4"/>
    <m/>
    <m/>
    <m/>
    <m/>
    <x v="2"/>
  </r>
  <r>
    <x v="820"/>
    <x v="0"/>
    <x v="0"/>
    <x v="23"/>
    <x v="9"/>
    <d v="2025-10-27T00:00:00"/>
    <d v="2025-10-31T00:00:00"/>
    <x v="0"/>
    <x v="0"/>
    <d v="2025-11-29T00:00:00"/>
    <n v="5"/>
    <n v="3"/>
    <n v="4"/>
    <x v="0"/>
  </r>
  <r>
    <x v="821"/>
    <x v="3"/>
    <x v="1"/>
    <x v="15"/>
    <x v="2"/>
    <m/>
    <m/>
    <x v="1"/>
    <x v="3"/>
    <m/>
    <m/>
    <m/>
    <m/>
    <x v="2"/>
  </r>
  <r>
    <x v="822"/>
    <x v="2"/>
    <x v="0"/>
    <x v="15"/>
    <x v="12"/>
    <d v="2025-10-31T00:00:00"/>
    <d v="2025-11-03T00:00:00"/>
    <x v="0"/>
    <x v="0"/>
    <d v="2025-11-14T00:00:00"/>
    <n v="3"/>
    <n v="4"/>
    <n v="3"/>
    <x v="9"/>
  </r>
  <r>
    <x v="823"/>
    <x v="3"/>
    <x v="2"/>
    <x v="13"/>
    <x v="21"/>
    <d v="2025-10-13T00:00:00"/>
    <d v="2025-10-15T00:00:00"/>
    <x v="0"/>
    <x v="0"/>
    <d v="2025-10-28T00:00:00"/>
    <n v="5"/>
    <n v="3"/>
    <n v="2"/>
    <x v="8"/>
  </r>
  <r>
    <x v="824"/>
    <x v="1"/>
    <x v="0"/>
    <x v="10"/>
    <x v="11"/>
    <d v="2025-11-03T00:00:00"/>
    <d v="2025-11-10T00:00:00"/>
    <x v="1"/>
    <x v="4"/>
    <m/>
    <n v="1"/>
    <n v="4"/>
    <n v="7"/>
    <x v="2"/>
  </r>
  <r>
    <x v="825"/>
    <x v="1"/>
    <x v="2"/>
    <x v="4"/>
    <x v="14"/>
    <d v="2025-10-16T00:00:00"/>
    <d v="2025-10-19T00:00:00"/>
    <x v="0"/>
    <x v="0"/>
    <d v="2025-11-18T00:00:00"/>
    <n v="1"/>
    <n v="1"/>
    <n v="3"/>
    <x v="9"/>
  </r>
  <r>
    <x v="826"/>
    <x v="3"/>
    <x v="0"/>
    <x v="0"/>
    <x v="31"/>
    <d v="2025-10-25T00:00:00"/>
    <d v="2025-10-29T00:00:00"/>
    <x v="0"/>
    <x v="0"/>
    <d v="2025-11-08T00:00:00"/>
    <n v="1"/>
    <n v="3"/>
    <n v="4"/>
    <x v="5"/>
  </r>
  <r>
    <x v="827"/>
    <x v="3"/>
    <x v="1"/>
    <x v="7"/>
    <x v="2"/>
    <m/>
    <m/>
    <x v="1"/>
    <x v="4"/>
    <m/>
    <m/>
    <m/>
    <m/>
    <x v="2"/>
  </r>
  <r>
    <x v="828"/>
    <x v="0"/>
    <x v="0"/>
    <x v="5"/>
    <x v="28"/>
    <d v="2025-10-31T00:00:00"/>
    <d v="2025-11-05T00:00:00"/>
    <x v="0"/>
    <x v="0"/>
    <d v="2025-11-16T00:00:00"/>
    <n v="1"/>
    <n v="3"/>
    <n v="5"/>
    <x v="0"/>
  </r>
  <r>
    <x v="829"/>
    <x v="1"/>
    <x v="0"/>
    <x v="6"/>
    <x v="16"/>
    <d v="2025-10-23T00:00:00"/>
    <d v="2025-10-29T00:00:00"/>
    <x v="1"/>
    <x v="2"/>
    <m/>
    <n v="5"/>
    <n v="2"/>
    <n v="6"/>
    <x v="2"/>
  </r>
  <r>
    <x v="830"/>
    <x v="1"/>
    <x v="2"/>
    <x v="18"/>
    <x v="18"/>
    <d v="2025-10-27T00:00:00"/>
    <d v="2025-10-29T00:00:00"/>
    <x v="1"/>
    <x v="5"/>
    <m/>
    <n v="3"/>
    <n v="4"/>
    <n v="2"/>
    <x v="2"/>
  </r>
  <r>
    <x v="831"/>
    <x v="3"/>
    <x v="2"/>
    <x v="4"/>
    <x v="24"/>
    <d v="2025-10-21T00:00:00"/>
    <d v="2025-10-28T00:00:00"/>
    <x v="0"/>
    <x v="0"/>
    <d v="2025-11-10T00:00:00"/>
    <n v="2"/>
    <n v="5"/>
    <n v="7"/>
    <x v="3"/>
  </r>
  <r>
    <x v="832"/>
    <x v="2"/>
    <x v="2"/>
    <x v="8"/>
    <x v="32"/>
    <d v="2025-11-10T00:00:00"/>
    <d v="2025-11-14T00:00:00"/>
    <x v="0"/>
    <x v="0"/>
    <d v="2025-12-07T00:00:00"/>
    <n v="5"/>
    <n v="5"/>
    <n v="4"/>
    <x v="3"/>
  </r>
  <r>
    <x v="833"/>
    <x v="1"/>
    <x v="0"/>
    <x v="8"/>
    <x v="8"/>
    <d v="2025-11-06T00:00:00"/>
    <d v="2025-11-10T00:00:00"/>
    <x v="0"/>
    <x v="0"/>
    <d v="2025-12-04T00:00:00"/>
    <n v="4"/>
    <n v="2"/>
    <n v="4"/>
    <x v="5"/>
  </r>
  <r>
    <x v="834"/>
    <x v="2"/>
    <x v="2"/>
    <x v="17"/>
    <x v="1"/>
    <d v="2025-10-18T00:00:00"/>
    <d v="2025-10-21T00:00:00"/>
    <x v="0"/>
    <x v="0"/>
    <d v="2025-11-12T00:00:00"/>
    <n v="5"/>
    <n v="4"/>
    <n v="3"/>
    <x v="1"/>
  </r>
  <r>
    <x v="835"/>
    <x v="3"/>
    <x v="0"/>
    <x v="30"/>
    <x v="33"/>
    <d v="2025-10-04T00:00:00"/>
    <d v="2025-10-06T00:00:00"/>
    <x v="1"/>
    <x v="3"/>
    <m/>
    <n v="1"/>
    <n v="1"/>
    <n v="2"/>
    <x v="2"/>
  </r>
  <r>
    <x v="836"/>
    <x v="3"/>
    <x v="0"/>
    <x v="12"/>
    <x v="12"/>
    <d v="2025-10-29T00:00:00"/>
    <d v="2025-11-03T00:00:00"/>
    <x v="0"/>
    <x v="0"/>
    <d v="2025-11-16T00:00:00"/>
    <n v="4"/>
    <n v="2"/>
    <n v="5"/>
    <x v="0"/>
  </r>
  <r>
    <x v="837"/>
    <x v="0"/>
    <x v="0"/>
    <x v="9"/>
    <x v="7"/>
    <d v="2025-10-20T00:00:00"/>
    <d v="2025-10-25T00:00:00"/>
    <x v="0"/>
    <x v="0"/>
    <d v="2025-11-21T00:00:00"/>
    <n v="5"/>
    <n v="3"/>
    <n v="5"/>
    <x v="5"/>
  </r>
  <r>
    <x v="838"/>
    <x v="1"/>
    <x v="2"/>
    <x v="28"/>
    <x v="21"/>
    <d v="2025-10-11T00:00:00"/>
    <d v="2025-10-17T00:00:00"/>
    <x v="0"/>
    <x v="0"/>
    <d v="2025-11-04T00:00:00"/>
    <n v="3"/>
    <n v="1"/>
    <n v="6"/>
    <x v="5"/>
  </r>
  <r>
    <x v="839"/>
    <x v="2"/>
    <x v="2"/>
    <x v="11"/>
    <x v="3"/>
    <d v="2025-10-22T00:00:00"/>
    <d v="2025-10-29T00:00:00"/>
    <x v="0"/>
    <x v="0"/>
    <d v="2025-11-23T00:00:00"/>
    <n v="3"/>
    <n v="4"/>
    <n v="7"/>
    <x v="3"/>
  </r>
  <r>
    <x v="840"/>
    <x v="0"/>
    <x v="1"/>
    <x v="11"/>
    <x v="2"/>
    <m/>
    <m/>
    <x v="1"/>
    <x v="3"/>
    <m/>
    <m/>
    <m/>
    <m/>
    <x v="2"/>
  </r>
  <r>
    <x v="841"/>
    <x v="1"/>
    <x v="0"/>
    <x v="8"/>
    <x v="8"/>
    <d v="2025-11-07T00:00:00"/>
    <d v="2025-11-13T00:00:00"/>
    <x v="0"/>
    <x v="0"/>
    <d v="2025-11-27T00:00:00"/>
    <n v="4"/>
    <n v="3"/>
    <n v="6"/>
    <x v="3"/>
  </r>
  <r>
    <x v="842"/>
    <x v="0"/>
    <x v="0"/>
    <x v="24"/>
    <x v="21"/>
    <d v="2025-10-15T00:00:00"/>
    <d v="2025-10-18T00:00:00"/>
    <x v="0"/>
    <x v="0"/>
    <d v="2025-11-03T00:00:00"/>
    <n v="2"/>
    <n v="5"/>
    <n v="3"/>
    <x v="6"/>
  </r>
  <r>
    <x v="843"/>
    <x v="3"/>
    <x v="2"/>
    <x v="3"/>
    <x v="10"/>
    <d v="2025-11-05T00:00:00"/>
    <d v="2025-11-07T00:00:00"/>
    <x v="1"/>
    <x v="3"/>
    <m/>
    <n v="4"/>
    <n v="4"/>
    <n v="2"/>
    <x v="2"/>
  </r>
  <r>
    <x v="844"/>
    <x v="1"/>
    <x v="1"/>
    <x v="9"/>
    <x v="2"/>
    <m/>
    <m/>
    <x v="1"/>
    <x v="2"/>
    <m/>
    <m/>
    <m/>
    <m/>
    <x v="2"/>
  </r>
  <r>
    <x v="845"/>
    <x v="0"/>
    <x v="0"/>
    <x v="7"/>
    <x v="15"/>
    <d v="2025-10-10T00:00:00"/>
    <d v="2025-10-15T00:00:00"/>
    <x v="0"/>
    <x v="0"/>
    <d v="2025-11-14T00:00:00"/>
    <n v="3"/>
    <n v="3"/>
    <n v="5"/>
    <x v="11"/>
  </r>
  <r>
    <x v="846"/>
    <x v="0"/>
    <x v="0"/>
    <x v="26"/>
    <x v="25"/>
    <d v="2025-10-30T00:00:00"/>
    <d v="2025-11-01T00:00:00"/>
    <x v="0"/>
    <x v="0"/>
    <d v="2025-11-11T00:00:00"/>
    <n v="4"/>
    <n v="4"/>
    <n v="2"/>
    <x v="9"/>
  </r>
  <r>
    <x v="847"/>
    <x v="2"/>
    <x v="1"/>
    <x v="9"/>
    <x v="2"/>
    <m/>
    <m/>
    <x v="1"/>
    <x v="4"/>
    <m/>
    <m/>
    <m/>
    <m/>
    <x v="2"/>
  </r>
  <r>
    <x v="848"/>
    <x v="0"/>
    <x v="2"/>
    <x v="21"/>
    <x v="22"/>
    <d v="2025-10-22T00:00:00"/>
    <d v="2025-10-25T00:00:00"/>
    <x v="0"/>
    <x v="0"/>
    <d v="2025-11-13T00:00:00"/>
    <n v="1"/>
    <n v="3"/>
    <n v="3"/>
    <x v="7"/>
  </r>
  <r>
    <x v="849"/>
    <x v="1"/>
    <x v="0"/>
    <x v="10"/>
    <x v="11"/>
    <d v="2025-11-03T00:00:00"/>
    <d v="2025-11-05T00:00:00"/>
    <x v="0"/>
    <x v="0"/>
    <d v="2025-11-28T00:00:00"/>
    <n v="1"/>
    <n v="4"/>
    <n v="2"/>
    <x v="5"/>
  </r>
  <r>
    <x v="850"/>
    <x v="1"/>
    <x v="0"/>
    <x v="0"/>
    <x v="18"/>
    <d v="2025-10-28T00:00:00"/>
    <d v="2025-10-30T00:00:00"/>
    <x v="0"/>
    <x v="0"/>
    <d v="2025-11-12T00:00:00"/>
    <n v="2"/>
    <n v="5"/>
    <n v="2"/>
    <x v="8"/>
  </r>
  <r>
    <x v="851"/>
    <x v="2"/>
    <x v="2"/>
    <x v="9"/>
    <x v="24"/>
    <d v="2025-10-18T00:00:00"/>
    <d v="2025-10-20T00:00:00"/>
    <x v="0"/>
    <x v="0"/>
    <d v="2025-11-15T00:00:00"/>
    <n v="4"/>
    <n v="2"/>
    <n v="2"/>
    <x v="3"/>
  </r>
  <r>
    <x v="852"/>
    <x v="1"/>
    <x v="1"/>
    <x v="30"/>
    <x v="2"/>
    <m/>
    <m/>
    <x v="1"/>
    <x v="5"/>
    <m/>
    <m/>
    <m/>
    <m/>
    <x v="2"/>
  </r>
  <r>
    <x v="853"/>
    <x v="3"/>
    <x v="0"/>
    <x v="27"/>
    <x v="7"/>
    <d v="2025-10-20T00:00:00"/>
    <d v="2025-10-23T00:00:00"/>
    <x v="1"/>
    <x v="1"/>
    <m/>
    <n v="4"/>
    <n v="3"/>
    <n v="3"/>
    <x v="2"/>
  </r>
  <r>
    <x v="854"/>
    <x v="1"/>
    <x v="0"/>
    <x v="17"/>
    <x v="19"/>
    <d v="2025-10-16T00:00:00"/>
    <d v="2025-10-19T00:00:00"/>
    <x v="0"/>
    <x v="0"/>
    <d v="2025-11-06T00:00:00"/>
    <n v="4"/>
    <n v="3"/>
    <n v="3"/>
    <x v="0"/>
  </r>
  <r>
    <x v="855"/>
    <x v="1"/>
    <x v="2"/>
    <x v="28"/>
    <x v="17"/>
    <d v="2025-10-16T00:00:00"/>
    <d v="2025-10-19T00:00:00"/>
    <x v="0"/>
    <x v="0"/>
    <d v="2025-11-17T00:00:00"/>
    <n v="4"/>
    <n v="5"/>
    <n v="3"/>
    <x v="11"/>
  </r>
  <r>
    <x v="856"/>
    <x v="0"/>
    <x v="2"/>
    <x v="8"/>
    <x v="34"/>
    <d v="2025-11-04T00:00:00"/>
    <d v="2025-11-09T00:00:00"/>
    <x v="0"/>
    <x v="0"/>
    <d v="2025-12-08T00:00:00"/>
    <n v="2"/>
    <n v="2"/>
    <n v="5"/>
    <x v="10"/>
  </r>
  <r>
    <x v="857"/>
    <x v="0"/>
    <x v="0"/>
    <x v="7"/>
    <x v="15"/>
    <d v="2025-10-11T00:00:00"/>
    <d v="2025-10-15T00:00:00"/>
    <x v="0"/>
    <x v="0"/>
    <d v="2025-10-29T00:00:00"/>
    <n v="3"/>
    <n v="4"/>
    <n v="4"/>
    <x v="9"/>
  </r>
  <r>
    <x v="858"/>
    <x v="1"/>
    <x v="0"/>
    <x v="8"/>
    <x v="32"/>
    <d v="2025-11-08T00:00:00"/>
    <d v="2025-11-15T00:00:00"/>
    <x v="0"/>
    <x v="0"/>
    <d v="2025-12-08T00:00:00"/>
    <n v="5"/>
    <n v="3"/>
    <n v="7"/>
    <x v="11"/>
  </r>
  <r>
    <x v="859"/>
    <x v="2"/>
    <x v="2"/>
    <x v="3"/>
    <x v="11"/>
    <d v="2025-11-01T00:00:00"/>
    <d v="2025-11-08T00:00:00"/>
    <x v="0"/>
    <x v="0"/>
    <d v="2025-11-21T00:00:00"/>
    <n v="2"/>
    <n v="2"/>
    <n v="7"/>
    <x v="8"/>
  </r>
  <r>
    <x v="860"/>
    <x v="0"/>
    <x v="0"/>
    <x v="5"/>
    <x v="11"/>
    <d v="2025-11-03T00:00:00"/>
    <d v="2025-11-10T00:00:00"/>
    <x v="0"/>
    <x v="0"/>
    <d v="2025-12-06T00:00:00"/>
    <n v="3"/>
    <n v="4"/>
    <n v="7"/>
    <x v="0"/>
  </r>
  <r>
    <x v="861"/>
    <x v="2"/>
    <x v="0"/>
    <x v="11"/>
    <x v="3"/>
    <d v="2025-10-21T00:00:00"/>
    <d v="2025-10-23T00:00:00"/>
    <x v="0"/>
    <x v="0"/>
    <d v="2025-11-21T00:00:00"/>
    <n v="3"/>
    <n v="3"/>
    <n v="2"/>
    <x v="7"/>
  </r>
  <r>
    <x v="862"/>
    <x v="1"/>
    <x v="2"/>
    <x v="25"/>
    <x v="13"/>
    <d v="2025-10-09T00:00:00"/>
    <d v="2025-10-15T00:00:00"/>
    <x v="1"/>
    <x v="4"/>
    <m/>
    <n v="3"/>
    <n v="3"/>
    <n v="6"/>
    <x v="2"/>
  </r>
  <r>
    <x v="863"/>
    <x v="1"/>
    <x v="0"/>
    <x v="26"/>
    <x v="25"/>
    <d v="2025-10-30T00:00:00"/>
    <d v="2025-11-05T00:00:00"/>
    <x v="0"/>
    <x v="0"/>
    <d v="2025-11-18T00:00:00"/>
    <n v="4"/>
    <n v="4"/>
    <n v="6"/>
    <x v="3"/>
  </r>
  <r>
    <x v="864"/>
    <x v="3"/>
    <x v="2"/>
    <x v="28"/>
    <x v="27"/>
    <d v="2025-10-14T00:00:00"/>
    <d v="2025-10-18T00:00:00"/>
    <x v="0"/>
    <x v="0"/>
    <d v="2025-11-06T00:00:00"/>
    <n v="2"/>
    <n v="5"/>
    <n v="4"/>
    <x v="8"/>
  </r>
  <r>
    <x v="865"/>
    <x v="0"/>
    <x v="1"/>
    <x v="0"/>
    <x v="2"/>
    <m/>
    <m/>
    <x v="1"/>
    <x v="2"/>
    <m/>
    <m/>
    <m/>
    <m/>
    <x v="2"/>
  </r>
  <r>
    <x v="866"/>
    <x v="1"/>
    <x v="0"/>
    <x v="0"/>
    <x v="9"/>
    <d v="2025-10-26T00:00:00"/>
    <d v="2025-10-28T00:00:00"/>
    <x v="0"/>
    <x v="0"/>
    <d v="2025-11-10T00:00:00"/>
    <n v="3"/>
    <n v="2"/>
    <n v="2"/>
    <x v="3"/>
  </r>
  <r>
    <x v="867"/>
    <x v="3"/>
    <x v="2"/>
    <x v="18"/>
    <x v="0"/>
    <d v="2025-10-28T00:00:00"/>
    <d v="2025-10-30T00:00:00"/>
    <x v="0"/>
    <x v="0"/>
    <d v="2025-11-12T00:00:00"/>
    <n v="5"/>
    <n v="3"/>
    <n v="2"/>
    <x v="3"/>
  </r>
  <r>
    <x v="868"/>
    <x v="0"/>
    <x v="0"/>
    <x v="2"/>
    <x v="13"/>
    <d v="2025-10-10T00:00:00"/>
    <d v="2025-10-12T00:00:00"/>
    <x v="0"/>
    <x v="0"/>
    <d v="2025-11-06T00:00:00"/>
    <n v="5"/>
    <n v="4"/>
    <n v="2"/>
    <x v="7"/>
  </r>
  <r>
    <x v="869"/>
    <x v="1"/>
    <x v="0"/>
    <x v="30"/>
    <x v="33"/>
    <d v="2025-10-06T00:00:00"/>
    <d v="2025-10-09T00:00:00"/>
    <x v="0"/>
    <x v="0"/>
    <d v="2025-10-25T00:00:00"/>
    <n v="1"/>
    <n v="3"/>
    <n v="3"/>
    <x v="10"/>
  </r>
  <r>
    <x v="870"/>
    <x v="1"/>
    <x v="0"/>
    <x v="19"/>
    <x v="23"/>
    <d v="2025-11-02T00:00:00"/>
    <d v="2025-11-09T00:00:00"/>
    <x v="0"/>
    <x v="0"/>
    <d v="2025-12-08T00:00:00"/>
    <n v="3"/>
    <n v="4"/>
    <n v="7"/>
    <x v="1"/>
  </r>
  <r>
    <x v="871"/>
    <x v="0"/>
    <x v="0"/>
    <x v="1"/>
    <x v="19"/>
    <d v="2025-10-16T00:00:00"/>
    <d v="2025-10-21T00:00:00"/>
    <x v="0"/>
    <x v="0"/>
    <d v="2025-11-06T00:00:00"/>
    <n v="2"/>
    <n v="3"/>
    <n v="5"/>
    <x v="11"/>
  </r>
  <r>
    <x v="872"/>
    <x v="0"/>
    <x v="0"/>
    <x v="24"/>
    <x v="20"/>
    <d v="2025-10-13T00:00:00"/>
    <d v="2025-10-16T00:00:00"/>
    <x v="0"/>
    <x v="0"/>
    <d v="2025-11-03T00:00:00"/>
    <n v="4"/>
    <n v="1"/>
    <n v="3"/>
    <x v="7"/>
  </r>
  <r>
    <x v="873"/>
    <x v="0"/>
    <x v="2"/>
    <x v="13"/>
    <x v="13"/>
    <d v="2025-10-11T00:00:00"/>
    <d v="2025-10-13T00:00:00"/>
    <x v="0"/>
    <x v="0"/>
    <d v="2025-11-08T00:00:00"/>
    <n v="1"/>
    <n v="5"/>
    <n v="2"/>
    <x v="8"/>
  </r>
  <r>
    <x v="874"/>
    <x v="1"/>
    <x v="2"/>
    <x v="19"/>
    <x v="23"/>
    <d v="2025-10-31T00:00:00"/>
    <d v="2025-11-04T00:00:00"/>
    <x v="0"/>
    <x v="0"/>
    <d v="2025-11-20T00:00:00"/>
    <n v="3"/>
    <n v="2"/>
    <n v="4"/>
    <x v="9"/>
  </r>
  <r>
    <x v="875"/>
    <x v="1"/>
    <x v="2"/>
    <x v="23"/>
    <x v="18"/>
    <d v="2025-10-28T00:00:00"/>
    <d v="2025-10-30T00:00:00"/>
    <x v="0"/>
    <x v="0"/>
    <d v="2025-11-20T00:00:00"/>
    <n v="4"/>
    <n v="5"/>
    <n v="2"/>
    <x v="5"/>
  </r>
  <r>
    <x v="876"/>
    <x v="3"/>
    <x v="0"/>
    <x v="28"/>
    <x v="27"/>
    <d v="2025-10-14T00:00:00"/>
    <d v="2025-10-16T00:00:00"/>
    <x v="0"/>
    <x v="0"/>
    <d v="2025-11-08T00:00:00"/>
    <n v="2"/>
    <n v="5"/>
    <n v="2"/>
    <x v="0"/>
  </r>
  <r>
    <x v="877"/>
    <x v="2"/>
    <x v="1"/>
    <x v="25"/>
    <x v="2"/>
    <m/>
    <m/>
    <x v="1"/>
    <x v="4"/>
    <m/>
    <m/>
    <m/>
    <m/>
    <x v="2"/>
  </r>
  <r>
    <x v="878"/>
    <x v="0"/>
    <x v="0"/>
    <x v="5"/>
    <x v="23"/>
    <d v="2025-10-31T00:00:00"/>
    <d v="2025-11-05T00:00:00"/>
    <x v="0"/>
    <x v="0"/>
    <d v="2025-11-24T00:00:00"/>
    <n v="2"/>
    <n v="2"/>
    <n v="5"/>
    <x v="8"/>
  </r>
  <r>
    <x v="879"/>
    <x v="1"/>
    <x v="2"/>
    <x v="22"/>
    <x v="25"/>
    <d v="2025-10-31T00:00:00"/>
    <d v="2025-11-02T00:00:00"/>
    <x v="0"/>
    <x v="0"/>
    <d v="2025-11-17T00:00:00"/>
    <n v="1"/>
    <n v="5"/>
    <n v="2"/>
    <x v="8"/>
  </r>
  <r>
    <x v="880"/>
    <x v="1"/>
    <x v="0"/>
    <x v="21"/>
    <x v="22"/>
    <d v="2025-10-20T00:00:00"/>
    <d v="2025-10-23T00:00:00"/>
    <x v="0"/>
    <x v="0"/>
    <d v="2025-11-03T00:00:00"/>
    <n v="1"/>
    <n v="1"/>
    <n v="3"/>
    <x v="0"/>
  </r>
  <r>
    <x v="881"/>
    <x v="0"/>
    <x v="1"/>
    <x v="28"/>
    <x v="2"/>
    <m/>
    <m/>
    <x v="1"/>
    <x v="4"/>
    <m/>
    <m/>
    <m/>
    <m/>
    <x v="2"/>
  </r>
  <r>
    <x v="882"/>
    <x v="2"/>
    <x v="0"/>
    <x v="23"/>
    <x v="31"/>
    <d v="2025-10-26T00:00:00"/>
    <d v="2025-11-01T00:00:00"/>
    <x v="0"/>
    <x v="0"/>
    <d v="2025-11-28T00:00:00"/>
    <n v="3"/>
    <n v="4"/>
    <n v="6"/>
    <x v="8"/>
  </r>
  <r>
    <x v="883"/>
    <x v="0"/>
    <x v="1"/>
    <x v="28"/>
    <x v="2"/>
    <m/>
    <m/>
    <x v="1"/>
    <x v="2"/>
    <m/>
    <m/>
    <m/>
    <m/>
    <x v="2"/>
  </r>
  <r>
    <x v="884"/>
    <x v="2"/>
    <x v="2"/>
    <x v="5"/>
    <x v="4"/>
    <d v="2025-11-02T00:00:00"/>
    <d v="2025-11-07T00:00:00"/>
    <x v="0"/>
    <x v="0"/>
    <d v="2025-12-02T00:00:00"/>
    <n v="4"/>
    <n v="2"/>
    <n v="5"/>
    <x v="11"/>
  </r>
  <r>
    <x v="885"/>
    <x v="1"/>
    <x v="2"/>
    <x v="3"/>
    <x v="34"/>
    <d v="2025-11-06T00:00:00"/>
    <d v="2025-11-13T00:00:00"/>
    <x v="0"/>
    <x v="0"/>
    <d v="2025-11-29T00:00:00"/>
    <n v="5"/>
    <n v="4"/>
    <n v="7"/>
    <x v="9"/>
  </r>
  <r>
    <x v="886"/>
    <x v="2"/>
    <x v="1"/>
    <x v="24"/>
    <x v="2"/>
    <m/>
    <m/>
    <x v="1"/>
    <x v="3"/>
    <m/>
    <m/>
    <m/>
    <m/>
    <x v="2"/>
  </r>
  <r>
    <x v="887"/>
    <x v="3"/>
    <x v="0"/>
    <x v="1"/>
    <x v="14"/>
    <d v="2025-10-18T00:00:00"/>
    <d v="2025-10-23T00:00:00"/>
    <x v="0"/>
    <x v="0"/>
    <d v="2025-11-17T00:00:00"/>
    <n v="4"/>
    <n v="3"/>
    <n v="5"/>
    <x v="11"/>
  </r>
  <r>
    <x v="888"/>
    <x v="1"/>
    <x v="0"/>
    <x v="22"/>
    <x v="12"/>
    <d v="2025-10-28T00:00:00"/>
    <d v="2025-11-02T00:00:00"/>
    <x v="0"/>
    <x v="0"/>
    <d v="2025-11-22T00:00:00"/>
    <n v="2"/>
    <n v="1"/>
    <n v="5"/>
    <x v="3"/>
  </r>
  <r>
    <x v="889"/>
    <x v="3"/>
    <x v="0"/>
    <x v="13"/>
    <x v="15"/>
    <d v="2025-10-11T00:00:00"/>
    <d v="2025-10-13T00:00:00"/>
    <x v="0"/>
    <x v="0"/>
    <d v="2025-10-30T00:00:00"/>
    <n v="2"/>
    <n v="4"/>
    <n v="2"/>
    <x v="8"/>
  </r>
  <r>
    <x v="890"/>
    <x v="0"/>
    <x v="1"/>
    <x v="19"/>
    <x v="2"/>
    <m/>
    <m/>
    <x v="1"/>
    <x v="3"/>
    <m/>
    <m/>
    <m/>
    <m/>
    <x v="2"/>
  </r>
  <r>
    <x v="891"/>
    <x v="0"/>
    <x v="0"/>
    <x v="10"/>
    <x v="10"/>
    <d v="2025-11-05T00:00:00"/>
    <d v="2025-11-10T00:00:00"/>
    <x v="0"/>
    <x v="0"/>
    <d v="2025-11-20T00:00:00"/>
    <n v="3"/>
    <n v="4"/>
    <n v="5"/>
    <x v="11"/>
  </r>
  <r>
    <x v="892"/>
    <x v="0"/>
    <x v="0"/>
    <x v="18"/>
    <x v="0"/>
    <d v="2025-10-27T00:00:00"/>
    <d v="2025-11-03T00:00:00"/>
    <x v="0"/>
    <x v="0"/>
    <d v="2025-11-13T00:00:00"/>
    <n v="5"/>
    <n v="2"/>
    <n v="7"/>
    <x v="11"/>
  </r>
  <r>
    <x v="893"/>
    <x v="2"/>
    <x v="0"/>
    <x v="2"/>
    <x v="26"/>
    <d v="2025-10-07T00:00:00"/>
    <d v="2025-10-12T00:00:00"/>
    <x v="0"/>
    <x v="0"/>
    <d v="2025-10-24T00:00:00"/>
    <n v="3"/>
    <n v="3"/>
    <n v="5"/>
    <x v="11"/>
  </r>
  <r>
    <x v="894"/>
    <x v="1"/>
    <x v="0"/>
    <x v="17"/>
    <x v="17"/>
    <d v="2025-10-13T00:00:00"/>
    <d v="2025-10-16T00:00:00"/>
    <x v="0"/>
    <x v="0"/>
    <d v="2025-10-29T00:00:00"/>
    <n v="2"/>
    <n v="2"/>
    <n v="3"/>
    <x v="10"/>
  </r>
  <r>
    <x v="895"/>
    <x v="0"/>
    <x v="0"/>
    <x v="3"/>
    <x v="11"/>
    <d v="2025-11-02T00:00:00"/>
    <d v="2025-11-06T00:00:00"/>
    <x v="1"/>
    <x v="5"/>
    <m/>
    <n v="2"/>
    <n v="3"/>
    <n v="4"/>
    <x v="2"/>
  </r>
  <r>
    <x v="896"/>
    <x v="0"/>
    <x v="1"/>
    <x v="13"/>
    <x v="2"/>
    <m/>
    <m/>
    <x v="1"/>
    <x v="5"/>
    <m/>
    <m/>
    <m/>
    <m/>
    <x v="2"/>
  </r>
  <r>
    <x v="897"/>
    <x v="1"/>
    <x v="1"/>
    <x v="13"/>
    <x v="2"/>
    <m/>
    <m/>
    <x v="1"/>
    <x v="3"/>
    <m/>
    <m/>
    <m/>
    <m/>
    <x v="2"/>
  </r>
  <r>
    <x v="898"/>
    <x v="0"/>
    <x v="1"/>
    <x v="21"/>
    <x v="2"/>
    <m/>
    <m/>
    <x v="1"/>
    <x v="1"/>
    <m/>
    <m/>
    <m/>
    <m/>
    <x v="2"/>
  </r>
  <r>
    <x v="899"/>
    <x v="3"/>
    <x v="2"/>
    <x v="17"/>
    <x v="19"/>
    <d v="2025-10-15T00:00:00"/>
    <d v="2025-10-18T00:00:00"/>
    <x v="0"/>
    <x v="0"/>
    <d v="2025-11-15T00:00:00"/>
    <n v="4"/>
    <n v="2"/>
    <n v="3"/>
    <x v="3"/>
  </r>
  <r>
    <x v="900"/>
    <x v="1"/>
    <x v="0"/>
    <x v="19"/>
    <x v="4"/>
    <d v="2025-11-04T00:00:00"/>
    <d v="2025-11-07T00:00:00"/>
    <x v="0"/>
    <x v="0"/>
    <d v="2025-12-02T00:00:00"/>
    <n v="5"/>
    <n v="4"/>
    <n v="3"/>
    <x v="4"/>
  </r>
  <r>
    <x v="901"/>
    <x v="1"/>
    <x v="0"/>
    <x v="14"/>
    <x v="21"/>
    <d v="2025-10-14T00:00:00"/>
    <d v="2025-10-18T00:00:00"/>
    <x v="0"/>
    <x v="0"/>
    <d v="2025-11-01T00:00:00"/>
    <n v="4"/>
    <n v="4"/>
    <n v="4"/>
    <x v="6"/>
  </r>
  <r>
    <x v="902"/>
    <x v="1"/>
    <x v="0"/>
    <x v="7"/>
    <x v="30"/>
    <d v="2025-10-09T00:00:00"/>
    <d v="2025-10-13T00:00:00"/>
    <x v="0"/>
    <x v="0"/>
    <d v="2025-10-25T00:00:00"/>
    <n v="4"/>
    <n v="1"/>
    <n v="4"/>
    <x v="7"/>
  </r>
  <r>
    <x v="903"/>
    <x v="3"/>
    <x v="0"/>
    <x v="26"/>
    <x v="0"/>
    <d v="2025-10-29T00:00:00"/>
    <d v="2025-11-03T00:00:00"/>
    <x v="0"/>
    <x v="0"/>
    <d v="2025-11-29T00:00:00"/>
    <n v="3"/>
    <n v="4"/>
    <n v="5"/>
    <x v="3"/>
  </r>
  <r>
    <x v="904"/>
    <x v="1"/>
    <x v="1"/>
    <x v="3"/>
    <x v="2"/>
    <m/>
    <m/>
    <x v="1"/>
    <x v="4"/>
    <m/>
    <m/>
    <m/>
    <m/>
    <x v="2"/>
  </r>
  <r>
    <x v="905"/>
    <x v="3"/>
    <x v="0"/>
    <x v="2"/>
    <x v="6"/>
    <d v="2025-10-10T00:00:00"/>
    <d v="2025-10-13T00:00:00"/>
    <x v="0"/>
    <x v="0"/>
    <d v="2025-10-25T00:00:00"/>
    <n v="4"/>
    <n v="5"/>
    <n v="3"/>
    <x v="11"/>
  </r>
  <r>
    <x v="906"/>
    <x v="1"/>
    <x v="0"/>
    <x v="13"/>
    <x v="13"/>
    <d v="2025-10-10T00:00:00"/>
    <d v="2025-10-12T00:00:00"/>
    <x v="0"/>
    <x v="0"/>
    <d v="2025-10-25T00:00:00"/>
    <n v="1"/>
    <n v="4"/>
    <n v="2"/>
    <x v="8"/>
  </r>
  <r>
    <x v="907"/>
    <x v="2"/>
    <x v="2"/>
    <x v="2"/>
    <x v="29"/>
    <d v="2025-10-07T00:00:00"/>
    <d v="2025-10-13T00:00:00"/>
    <x v="0"/>
    <x v="0"/>
    <d v="2025-10-31T00:00:00"/>
    <n v="1"/>
    <n v="5"/>
    <n v="6"/>
    <x v="0"/>
  </r>
  <r>
    <x v="908"/>
    <x v="0"/>
    <x v="0"/>
    <x v="9"/>
    <x v="24"/>
    <d v="2025-10-20T00:00:00"/>
    <d v="2025-10-26T00:00:00"/>
    <x v="0"/>
    <x v="0"/>
    <d v="2025-11-25T00:00:00"/>
    <n v="4"/>
    <n v="4"/>
    <n v="6"/>
    <x v="1"/>
  </r>
  <r>
    <x v="909"/>
    <x v="2"/>
    <x v="0"/>
    <x v="19"/>
    <x v="4"/>
    <d v="2025-11-05T00:00:00"/>
    <d v="2025-11-11T00:00:00"/>
    <x v="0"/>
    <x v="0"/>
    <d v="2025-11-28T00:00:00"/>
    <n v="5"/>
    <n v="5"/>
    <n v="6"/>
    <x v="0"/>
  </r>
  <r>
    <x v="910"/>
    <x v="0"/>
    <x v="0"/>
    <x v="19"/>
    <x v="11"/>
    <d v="2025-11-04T00:00:00"/>
    <d v="2025-11-07T00:00:00"/>
    <x v="0"/>
    <x v="0"/>
    <d v="2025-12-01T00:00:00"/>
    <n v="4"/>
    <n v="5"/>
    <n v="3"/>
    <x v="8"/>
  </r>
  <r>
    <x v="911"/>
    <x v="3"/>
    <x v="2"/>
    <x v="24"/>
    <x v="21"/>
    <d v="2025-10-14T00:00:00"/>
    <d v="2025-10-21T00:00:00"/>
    <x v="0"/>
    <x v="0"/>
    <d v="2025-11-09T00:00:00"/>
    <n v="2"/>
    <n v="4"/>
    <n v="7"/>
    <x v="10"/>
  </r>
  <r>
    <x v="912"/>
    <x v="2"/>
    <x v="2"/>
    <x v="23"/>
    <x v="16"/>
    <d v="2025-10-26T00:00:00"/>
    <d v="2025-10-30T00:00:00"/>
    <x v="0"/>
    <x v="0"/>
    <d v="2025-11-17T00:00:00"/>
    <n v="2"/>
    <n v="5"/>
    <n v="4"/>
    <x v="1"/>
  </r>
  <r>
    <x v="913"/>
    <x v="1"/>
    <x v="0"/>
    <x v="1"/>
    <x v="24"/>
    <d v="2025-10-17T00:00:00"/>
    <d v="2025-10-22T00:00:00"/>
    <x v="0"/>
    <x v="0"/>
    <d v="2025-11-15T00:00:00"/>
    <n v="5"/>
    <n v="1"/>
    <n v="5"/>
    <x v="3"/>
  </r>
  <r>
    <x v="914"/>
    <x v="0"/>
    <x v="2"/>
    <x v="2"/>
    <x v="26"/>
    <d v="2025-10-07T00:00:00"/>
    <d v="2025-10-12T00:00:00"/>
    <x v="0"/>
    <x v="0"/>
    <d v="2025-10-23T00:00:00"/>
    <n v="3"/>
    <n v="3"/>
    <n v="5"/>
    <x v="8"/>
  </r>
  <r>
    <x v="915"/>
    <x v="0"/>
    <x v="2"/>
    <x v="14"/>
    <x v="15"/>
    <d v="2025-10-12T00:00:00"/>
    <d v="2025-10-18T00:00:00"/>
    <x v="0"/>
    <x v="0"/>
    <d v="2025-10-31T00:00:00"/>
    <n v="1"/>
    <n v="5"/>
    <n v="6"/>
    <x v="10"/>
  </r>
  <r>
    <x v="916"/>
    <x v="2"/>
    <x v="2"/>
    <x v="17"/>
    <x v="21"/>
    <d v="2025-10-15T00:00:00"/>
    <d v="2025-10-20T00:00:00"/>
    <x v="0"/>
    <x v="0"/>
    <d v="2025-11-04T00:00:00"/>
    <n v="1"/>
    <n v="5"/>
    <n v="5"/>
    <x v="5"/>
  </r>
  <r>
    <x v="917"/>
    <x v="3"/>
    <x v="2"/>
    <x v="30"/>
    <x v="6"/>
    <d v="2025-10-06T00:00:00"/>
    <d v="2025-10-08T00:00:00"/>
    <x v="0"/>
    <x v="0"/>
    <d v="2025-10-19T00:00:00"/>
    <n v="3"/>
    <n v="1"/>
    <n v="2"/>
    <x v="1"/>
  </r>
  <r>
    <x v="918"/>
    <x v="2"/>
    <x v="2"/>
    <x v="13"/>
    <x v="27"/>
    <d v="2025-10-10T00:00:00"/>
    <d v="2025-10-12T00:00:00"/>
    <x v="0"/>
    <x v="0"/>
    <d v="2025-10-31T00:00:00"/>
    <n v="4"/>
    <n v="1"/>
    <n v="2"/>
    <x v="10"/>
  </r>
  <r>
    <x v="919"/>
    <x v="3"/>
    <x v="0"/>
    <x v="15"/>
    <x v="23"/>
    <d v="2025-10-31T00:00:00"/>
    <d v="2025-11-04T00:00:00"/>
    <x v="0"/>
    <x v="0"/>
    <d v="2025-11-25T00:00:00"/>
    <n v="5"/>
    <n v="2"/>
    <n v="4"/>
    <x v="5"/>
  </r>
  <r>
    <x v="920"/>
    <x v="3"/>
    <x v="0"/>
    <x v="4"/>
    <x v="3"/>
    <d v="2025-10-21T00:00:00"/>
    <d v="2025-10-26T00:00:00"/>
    <x v="0"/>
    <x v="0"/>
    <d v="2025-11-15T00:00:00"/>
    <n v="4"/>
    <n v="3"/>
    <n v="5"/>
    <x v="6"/>
  </r>
  <r>
    <x v="921"/>
    <x v="0"/>
    <x v="1"/>
    <x v="16"/>
    <x v="2"/>
    <m/>
    <m/>
    <x v="1"/>
    <x v="1"/>
    <m/>
    <m/>
    <m/>
    <m/>
    <x v="2"/>
  </r>
  <r>
    <x v="922"/>
    <x v="2"/>
    <x v="0"/>
    <x v="7"/>
    <x v="15"/>
    <d v="2025-10-09T00:00:00"/>
    <d v="2025-10-12T00:00:00"/>
    <x v="0"/>
    <x v="0"/>
    <d v="2025-11-04T00:00:00"/>
    <n v="3"/>
    <n v="2"/>
    <n v="3"/>
    <x v="5"/>
  </r>
  <r>
    <x v="923"/>
    <x v="2"/>
    <x v="0"/>
    <x v="15"/>
    <x v="23"/>
    <d v="2025-11-03T00:00:00"/>
    <d v="2025-11-08T00:00:00"/>
    <x v="0"/>
    <x v="0"/>
    <d v="2025-11-21T00:00:00"/>
    <n v="5"/>
    <n v="5"/>
    <n v="5"/>
    <x v="5"/>
  </r>
  <r>
    <x v="924"/>
    <x v="3"/>
    <x v="2"/>
    <x v="25"/>
    <x v="26"/>
    <d v="2025-10-05T00:00:00"/>
    <d v="2025-10-08T00:00:00"/>
    <x v="0"/>
    <x v="0"/>
    <d v="2025-10-21T00:00:00"/>
    <n v="1"/>
    <n v="1"/>
    <n v="3"/>
    <x v="5"/>
  </r>
  <r>
    <x v="925"/>
    <x v="2"/>
    <x v="2"/>
    <x v="6"/>
    <x v="7"/>
    <d v="2025-10-22T00:00:00"/>
    <d v="2025-10-29T00:00:00"/>
    <x v="0"/>
    <x v="0"/>
    <d v="2025-11-09T00:00:00"/>
    <n v="1"/>
    <n v="5"/>
    <n v="7"/>
    <x v="0"/>
  </r>
  <r>
    <x v="926"/>
    <x v="1"/>
    <x v="0"/>
    <x v="11"/>
    <x v="22"/>
    <d v="2025-10-23T00:00:00"/>
    <d v="2025-10-29T00:00:00"/>
    <x v="0"/>
    <x v="0"/>
    <d v="2025-11-08T00:00:00"/>
    <n v="4"/>
    <n v="4"/>
    <n v="6"/>
    <x v="11"/>
  </r>
  <r>
    <x v="927"/>
    <x v="1"/>
    <x v="2"/>
    <x v="22"/>
    <x v="12"/>
    <d v="2025-10-30T00:00:00"/>
    <d v="2025-11-02T00:00:00"/>
    <x v="1"/>
    <x v="4"/>
    <m/>
    <n v="2"/>
    <n v="3"/>
    <n v="3"/>
    <x v="2"/>
  </r>
  <r>
    <x v="928"/>
    <x v="2"/>
    <x v="0"/>
    <x v="9"/>
    <x v="14"/>
    <d v="2025-10-19T00:00:00"/>
    <d v="2025-10-26T00:00:00"/>
    <x v="0"/>
    <x v="0"/>
    <d v="2025-11-09T00:00:00"/>
    <n v="3"/>
    <n v="4"/>
    <n v="7"/>
    <x v="1"/>
  </r>
  <r>
    <x v="929"/>
    <x v="2"/>
    <x v="0"/>
    <x v="16"/>
    <x v="5"/>
    <d v="2025-10-21T00:00:00"/>
    <d v="2025-10-27T00:00:00"/>
    <x v="0"/>
    <x v="0"/>
    <d v="2025-11-26T00:00:00"/>
    <n v="3"/>
    <n v="1"/>
    <n v="6"/>
    <x v="10"/>
  </r>
  <r>
    <x v="930"/>
    <x v="3"/>
    <x v="0"/>
    <x v="23"/>
    <x v="18"/>
    <d v="2025-10-24T00:00:00"/>
    <d v="2025-10-26T00:00:00"/>
    <x v="0"/>
    <x v="0"/>
    <d v="2025-11-10T00:00:00"/>
    <n v="4"/>
    <n v="1"/>
    <n v="2"/>
    <x v="11"/>
  </r>
  <r>
    <x v="931"/>
    <x v="1"/>
    <x v="2"/>
    <x v="7"/>
    <x v="15"/>
    <d v="2025-10-08T00:00:00"/>
    <d v="2025-10-13T00:00:00"/>
    <x v="0"/>
    <x v="0"/>
    <d v="2025-11-02T00:00:00"/>
    <n v="3"/>
    <n v="1"/>
    <n v="5"/>
    <x v="3"/>
  </r>
  <r>
    <x v="932"/>
    <x v="1"/>
    <x v="0"/>
    <x v="11"/>
    <x v="24"/>
    <d v="2025-10-19T00:00:00"/>
    <d v="2025-10-26T00:00:00"/>
    <x v="0"/>
    <x v="0"/>
    <d v="2025-11-16T00:00:00"/>
    <n v="1"/>
    <n v="3"/>
    <n v="7"/>
    <x v="0"/>
  </r>
  <r>
    <x v="933"/>
    <x v="0"/>
    <x v="0"/>
    <x v="16"/>
    <x v="16"/>
    <d v="2025-10-23T00:00:00"/>
    <d v="2025-10-27T00:00:00"/>
    <x v="1"/>
    <x v="3"/>
    <m/>
    <n v="4"/>
    <n v="2"/>
    <n v="4"/>
    <x v="2"/>
  </r>
  <r>
    <x v="934"/>
    <x v="3"/>
    <x v="2"/>
    <x v="24"/>
    <x v="27"/>
    <d v="2025-10-14T00:00:00"/>
    <d v="2025-10-19T00:00:00"/>
    <x v="0"/>
    <x v="0"/>
    <d v="2025-11-12T00:00:00"/>
    <n v="1"/>
    <n v="5"/>
    <n v="5"/>
    <x v="3"/>
  </r>
  <r>
    <x v="935"/>
    <x v="0"/>
    <x v="0"/>
    <x v="8"/>
    <x v="32"/>
    <d v="2025-11-10T00:00:00"/>
    <d v="2025-11-16T00:00:00"/>
    <x v="0"/>
    <x v="0"/>
    <d v="2025-12-15T00:00:00"/>
    <n v="5"/>
    <n v="5"/>
    <n v="6"/>
    <x v="0"/>
  </r>
  <r>
    <x v="936"/>
    <x v="1"/>
    <x v="0"/>
    <x v="18"/>
    <x v="0"/>
    <d v="2025-10-30T00:00:00"/>
    <d v="2025-11-04T00:00:00"/>
    <x v="0"/>
    <x v="0"/>
    <d v="2025-11-22T00:00:00"/>
    <n v="5"/>
    <n v="5"/>
    <n v="5"/>
    <x v="8"/>
  </r>
  <r>
    <x v="937"/>
    <x v="3"/>
    <x v="1"/>
    <x v="30"/>
    <x v="2"/>
    <m/>
    <m/>
    <x v="1"/>
    <x v="5"/>
    <m/>
    <m/>
    <m/>
    <m/>
    <x v="2"/>
  </r>
  <r>
    <x v="938"/>
    <x v="2"/>
    <x v="2"/>
    <x v="15"/>
    <x v="25"/>
    <d v="2025-10-31T00:00:00"/>
    <d v="2025-11-04T00:00:00"/>
    <x v="0"/>
    <x v="0"/>
    <d v="2025-11-16T00:00:00"/>
    <n v="2"/>
    <n v="5"/>
    <n v="4"/>
    <x v="11"/>
  </r>
  <r>
    <x v="939"/>
    <x v="3"/>
    <x v="1"/>
    <x v="19"/>
    <x v="2"/>
    <m/>
    <m/>
    <x v="1"/>
    <x v="5"/>
    <m/>
    <m/>
    <m/>
    <m/>
    <x v="2"/>
  </r>
  <r>
    <x v="940"/>
    <x v="2"/>
    <x v="0"/>
    <x v="20"/>
    <x v="34"/>
    <d v="2025-11-07T00:00:00"/>
    <d v="2025-11-13T00:00:00"/>
    <x v="0"/>
    <x v="0"/>
    <d v="2025-12-04T00:00:00"/>
    <n v="3"/>
    <n v="5"/>
    <n v="6"/>
    <x v="1"/>
  </r>
  <r>
    <x v="941"/>
    <x v="2"/>
    <x v="0"/>
    <x v="3"/>
    <x v="34"/>
    <d v="2025-11-04T00:00:00"/>
    <d v="2025-11-10T00:00:00"/>
    <x v="0"/>
    <x v="0"/>
    <d v="2025-11-30T00:00:00"/>
    <n v="5"/>
    <n v="2"/>
    <n v="6"/>
    <x v="7"/>
  </r>
  <r>
    <x v="942"/>
    <x v="3"/>
    <x v="2"/>
    <x v="26"/>
    <x v="0"/>
    <d v="2025-10-29T00:00:00"/>
    <d v="2025-11-02T00:00:00"/>
    <x v="0"/>
    <x v="0"/>
    <d v="2025-11-17T00:00:00"/>
    <n v="3"/>
    <n v="4"/>
    <n v="4"/>
    <x v="8"/>
  </r>
  <r>
    <x v="943"/>
    <x v="2"/>
    <x v="0"/>
    <x v="16"/>
    <x v="3"/>
    <d v="2025-10-21T00:00:00"/>
    <d v="2025-10-26T00:00:00"/>
    <x v="0"/>
    <x v="0"/>
    <d v="2025-11-08T00:00:00"/>
    <n v="1"/>
    <n v="3"/>
    <n v="5"/>
    <x v="0"/>
  </r>
  <r>
    <x v="944"/>
    <x v="0"/>
    <x v="2"/>
    <x v="29"/>
    <x v="1"/>
    <d v="2025-10-18T00:00:00"/>
    <d v="2025-10-22T00:00:00"/>
    <x v="0"/>
    <x v="0"/>
    <d v="2025-11-13T00:00:00"/>
    <n v="4"/>
    <n v="4"/>
    <n v="4"/>
    <x v="9"/>
  </r>
  <r>
    <x v="945"/>
    <x v="1"/>
    <x v="0"/>
    <x v="11"/>
    <x v="5"/>
    <d v="2025-10-24T00:00:00"/>
    <d v="2025-10-27T00:00:00"/>
    <x v="0"/>
    <x v="0"/>
    <d v="2025-11-18T00:00:00"/>
    <n v="5"/>
    <n v="4"/>
    <n v="3"/>
    <x v="5"/>
  </r>
  <r>
    <x v="946"/>
    <x v="2"/>
    <x v="2"/>
    <x v="0"/>
    <x v="0"/>
    <d v="2025-10-30T00:00:00"/>
    <d v="2025-11-01T00:00:00"/>
    <x v="0"/>
    <x v="0"/>
    <d v="2025-11-25T00:00:00"/>
    <n v="4"/>
    <n v="5"/>
    <n v="2"/>
    <x v="5"/>
  </r>
  <r>
    <x v="947"/>
    <x v="0"/>
    <x v="1"/>
    <x v="8"/>
    <x v="2"/>
    <m/>
    <m/>
    <x v="1"/>
    <x v="1"/>
    <m/>
    <m/>
    <m/>
    <m/>
    <x v="2"/>
  </r>
  <r>
    <x v="948"/>
    <x v="2"/>
    <x v="0"/>
    <x v="2"/>
    <x v="13"/>
    <d v="2025-10-11T00:00:00"/>
    <d v="2025-10-15T00:00:00"/>
    <x v="0"/>
    <x v="0"/>
    <d v="2025-11-02T00:00:00"/>
    <n v="5"/>
    <n v="5"/>
    <n v="4"/>
    <x v="1"/>
  </r>
  <r>
    <x v="949"/>
    <x v="1"/>
    <x v="0"/>
    <x v="30"/>
    <x v="6"/>
    <d v="2025-10-07T00:00:00"/>
    <d v="2025-10-13T00:00:00"/>
    <x v="0"/>
    <x v="0"/>
    <d v="2025-11-04T00:00:00"/>
    <n v="3"/>
    <n v="2"/>
    <n v="6"/>
    <x v="0"/>
  </r>
  <r>
    <x v="950"/>
    <x v="0"/>
    <x v="2"/>
    <x v="6"/>
    <x v="16"/>
    <d v="2025-10-24T00:00:00"/>
    <d v="2025-10-27T00:00:00"/>
    <x v="0"/>
    <x v="0"/>
    <d v="2025-11-21T00:00:00"/>
    <n v="5"/>
    <n v="3"/>
    <n v="3"/>
    <x v="9"/>
  </r>
  <r>
    <x v="951"/>
    <x v="1"/>
    <x v="2"/>
    <x v="3"/>
    <x v="34"/>
    <d v="2025-11-03T00:00:00"/>
    <d v="2025-11-05T00:00:00"/>
    <x v="0"/>
    <x v="0"/>
    <d v="2025-11-28T00:00:00"/>
    <n v="5"/>
    <n v="1"/>
    <n v="2"/>
    <x v="10"/>
  </r>
  <r>
    <x v="952"/>
    <x v="1"/>
    <x v="0"/>
    <x v="27"/>
    <x v="1"/>
    <d v="2025-10-18T00:00:00"/>
    <d v="2025-10-22T00:00:00"/>
    <x v="0"/>
    <x v="0"/>
    <d v="2025-11-21T00:00:00"/>
    <n v="1"/>
    <n v="4"/>
    <n v="4"/>
    <x v="10"/>
  </r>
  <r>
    <x v="953"/>
    <x v="0"/>
    <x v="0"/>
    <x v="4"/>
    <x v="24"/>
    <d v="2025-10-17T00:00:00"/>
    <d v="2025-10-19T00:00:00"/>
    <x v="0"/>
    <x v="0"/>
    <d v="2025-11-03T00:00:00"/>
    <n v="2"/>
    <n v="1"/>
    <n v="2"/>
    <x v="5"/>
  </r>
  <r>
    <x v="954"/>
    <x v="0"/>
    <x v="2"/>
    <x v="26"/>
    <x v="18"/>
    <d v="2025-10-26T00:00:00"/>
    <d v="2025-10-31T00:00:00"/>
    <x v="0"/>
    <x v="0"/>
    <d v="2025-11-13T00:00:00"/>
    <n v="1"/>
    <n v="3"/>
    <n v="5"/>
    <x v="10"/>
  </r>
  <r>
    <x v="955"/>
    <x v="0"/>
    <x v="0"/>
    <x v="7"/>
    <x v="30"/>
    <d v="2025-10-12T00:00:00"/>
    <d v="2025-10-18T00:00:00"/>
    <x v="0"/>
    <x v="0"/>
    <d v="2025-11-01T00:00:00"/>
    <n v="4"/>
    <n v="4"/>
    <n v="6"/>
    <x v="0"/>
  </r>
  <r>
    <x v="956"/>
    <x v="3"/>
    <x v="1"/>
    <x v="6"/>
    <x v="2"/>
    <m/>
    <m/>
    <x v="1"/>
    <x v="5"/>
    <m/>
    <m/>
    <m/>
    <m/>
    <x v="2"/>
  </r>
  <r>
    <x v="957"/>
    <x v="0"/>
    <x v="0"/>
    <x v="12"/>
    <x v="25"/>
    <d v="2025-10-27T00:00:00"/>
    <d v="2025-10-31T00:00:00"/>
    <x v="0"/>
    <x v="0"/>
    <d v="2025-11-11T00:00:00"/>
    <n v="3"/>
    <n v="1"/>
    <n v="4"/>
    <x v="4"/>
  </r>
  <r>
    <x v="958"/>
    <x v="0"/>
    <x v="0"/>
    <x v="20"/>
    <x v="34"/>
    <d v="2025-11-03T00:00:00"/>
    <d v="2025-11-09T00:00:00"/>
    <x v="0"/>
    <x v="0"/>
    <d v="2025-11-24T00:00:00"/>
    <n v="3"/>
    <n v="1"/>
    <n v="6"/>
    <x v="10"/>
  </r>
  <r>
    <x v="959"/>
    <x v="0"/>
    <x v="1"/>
    <x v="11"/>
    <x v="2"/>
    <m/>
    <m/>
    <x v="1"/>
    <x v="3"/>
    <m/>
    <m/>
    <m/>
    <m/>
    <x v="2"/>
  </r>
  <r>
    <x v="960"/>
    <x v="0"/>
    <x v="2"/>
    <x v="25"/>
    <x v="30"/>
    <d v="2025-10-10T00:00:00"/>
    <d v="2025-10-13T00:00:00"/>
    <x v="0"/>
    <x v="0"/>
    <d v="2025-10-26T00:00:00"/>
    <n v="5"/>
    <n v="2"/>
    <n v="3"/>
    <x v="1"/>
  </r>
  <r>
    <x v="961"/>
    <x v="2"/>
    <x v="0"/>
    <x v="10"/>
    <x v="10"/>
    <d v="2025-11-04T00:00:00"/>
    <d v="2025-11-07T00:00:00"/>
    <x v="0"/>
    <x v="0"/>
    <d v="2025-11-30T00:00:00"/>
    <n v="3"/>
    <n v="3"/>
    <n v="3"/>
    <x v="5"/>
  </r>
  <r>
    <x v="962"/>
    <x v="3"/>
    <x v="1"/>
    <x v="25"/>
    <x v="2"/>
    <m/>
    <m/>
    <x v="1"/>
    <x v="1"/>
    <m/>
    <m/>
    <m/>
    <m/>
    <x v="2"/>
  </r>
  <r>
    <x v="963"/>
    <x v="1"/>
    <x v="2"/>
    <x v="1"/>
    <x v="19"/>
    <d v="2025-10-16T00:00:00"/>
    <d v="2025-10-18T00:00:00"/>
    <x v="0"/>
    <x v="0"/>
    <d v="2025-11-15T00:00:00"/>
    <n v="2"/>
    <n v="3"/>
    <n v="2"/>
    <x v="9"/>
  </r>
  <r>
    <x v="964"/>
    <x v="0"/>
    <x v="0"/>
    <x v="18"/>
    <x v="31"/>
    <d v="2025-10-25T00:00:00"/>
    <d v="2025-10-28T00:00:00"/>
    <x v="0"/>
    <x v="0"/>
    <d v="2025-11-22T00:00:00"/>
    <n v="2"/>
    <n v="3"/>
    <n v="3"/>
    <x v="3"/>
  </r>
  <r>
    <x v="965"/>
    <x v="2"/>
    <x v="0"/>
    <x v="13"/>
    <x v="21"/>
    <d v="2025-10-14T00:00:00"/>
    <d v="2025-10-21T00:00:00"/>
    <x v="0"/>
    <x v="0"/>
    <d v="2025-11-18T00:00:00"/>
    <n v="5"/>
    <n v="4"/>
    <n v="7"/>
    <x v="11"/>
  </r>
  <r>
    <x v="966"/>
    <x v="2"/>
    <x v="0"/>
    <x v="25"/>
    <x v="30"/>
    <d v="2025-10-10T00:00:00"/>
    <d v="2025-10-13T00:00:00"/>
    <x v="0"/>
    <x v="0"/>
    <d v="2025-11-06T00:00:00"/>
    <n v="5"/>
    <n v="2"/>
    <n v="3"/>
    <x v="8"/>
  </r>
  <r>
    <x v="967"/>
    <x v="2"/>
    <x v="0"/>
    <x v="13"/>
    <x v="27"/>
    <d v="2025-10-14T00:00:00"/>
    <d v="2025-10-18T00:00:00"/>
    <x v="0"/>
    <x v="0"/>
    <d v="2025-11-02T00:00:00"/>
    <n v="4"/>
    <n v="5"/>
    <n v="4"/>
    <x v="11"/>
  </r>
  <r>
    <x v="968"/>
    <x v="1"/>
    <x v="1"/>
    <x v="17"/>
    <x v="2"/>
    <m/>
    <m/>
    <x v="1"/>
    <x v="4"/>
    <m/>
    <m/>
    <m/>
    <m/>
    <x v="2"/>
  </r>
  <r>
    <x v="969"/>
    <x v="0"/>
    <x v="0"/>
    <x v="18"/>
    <x v="0"/>
    <d v="2025-10-29T00:00:00"/>
    <d v="2025-11-04T00:00:00"/>
    <x v="0"/>
    <x v="0"/>
    <d v="2025-12-03T00:00:00"/>
    <n v="5"/>
    <n v="4"/>
    <n v="6"/>
    <x v="5"/>
  </r>
  <r>
    <x v="970"/>
    <x v="3"/>
    <x v="2"/>
    <x v="0"/>
    <x v="31"/>
    <d v="2025-10-25T00:00:00"/>
    <d v="2025-11-01T00:00:00"/>
    <x v="0"/>
    <x v="0"/>
    <d v="2025-11-23T00:00:00"/>
    <n v="1"/>
    <n v="3"/>
    <n v="7"/>
    <x v="4"/>
  </r>
  <r>
    <x v="971"/>
    <x v="3"/>
    <x v="1"/>
    <x v="23"/>
    <x v="2"/>
    <m/>
    <m/>
    <x v="1"/>
    <x v="5"/>
    <m/>
    <m/>
    <m/>
    <m/>
    <x v="2"/>
  </r>
  <r>
    <x v="972"/>
    <x v="2"/>
    <x v="2"/>
    <x v="21"/>
    <x v="22"/>
    <d v="2025-10-23T00:00:00"/>
    <d v="2025-10-25T00:00:00"/>
    <x v="0"/>
    <x v="0"/>
    <d v="2025-11-15T00:00:00"/>
    <n v="1"/>
    <n v="4"/>
    <n v="2"/>
    <x v="4"/>
  </r>
  <r>
    <x v="973"/>
    <x v="1"/>
    <x v="0"/>
    <x v="12"/>
    <x v="9"/>
    <d v="2025-10-25T00:00:00"/>
    <d v="2025-10-28T00:00:00"/>
    <x v="0"/>
    <x v="0"/>
    <d v="2025-11-26T00:00:00"/>
    <n v="1"/>
    <n v="1"/>
    <n v="3"/>
    <x v="3"/>
  </r>
  <r>
    <x v="974"/>
    <x v="1"/>
    <x v="0"/>
    <x v="1"/>
    <x v="19"/>
    <d v="2025-10-17T00:00:00"/>
    <d v="2025-10-23T00:00:00"/>
    <x v="0"/>
    <x v="0"/>
    <d v="2025-11-02T00:00:00"/>
    <n v="2"/>
    <n v="4"/>
    <n v="6"/>
    <x v="11"/>
  </r>
  <r>
    <x v="975"/>
    <x v="1"/>
    <x v="0"/>
    <x v="27"/>
    <x v="24"/>
    <d v="2025-10-20T00:00:00"/>
    <d v="2025-10-25T00:00:00"/>
    <x v="1"/>
    <x v="2"/>
    <m/>
    <n v="3"/>
    <n v="4"/>
    <n v="5"/>
    <x v="2"/>
  </r>
  <r>
    <x v="976"/>
    <x v="3"/>
    <x v="0"/>
    <x v="18"/>
    <x v="9"/>
    <d v="2025-10-27T00:00:00"/>
    <d v="2025-10-31T00:00:00"/>
    <x v="1"/>
    <x v="5"/>
    <m/>
    <n v="4"/>
    <n v="3"/>
    <n v="4"/>
    <x v="2"/>
  </r>
  <r>
    <x v="977"/>
    <x v="2"/>
    <x v="1"/>
    <x v="16"/>
    <x v="2"/>
    <m/>
    <m/>
    <x v="1"/>
    <x v="4"/>
    <m/>
    <m/>
    <m/>
    <m/>
    <x v="2"/>
  </r>
  <r>
    <x v="978"/>
    <x v="0"/>
    <x v="0"/>
    <x v="29"/>
    <x v="14"/>
    <d v="2025-10-16T00:00:00"/>
    <d v="2025-10-19T00:00:00"/>
    <x v="0"/>
    <x v="0"/>
    <d v="2025-11-02T00:00:00"/>
    <n v="5"/>
    <n v="1"/>
    <n v="3"/>
    <x v="1"/>
  </r>
  <r>
    <x v="979"/>
    <x v="3"/>
    <x v="0"/>
    <x v="11"/>
    <x v="22"/>
    <d v="2025-10-22T00:00:00"/>
    <d v="2025-10-25T00:00:00"/>
    <x v="0"/>
    <x v="0"/>
    <d v="2025-11-19T00:00:00"/>
    <n v="4"/>
    <n v="3"/>
    <n v="3"/>
    <x v="7"/>
  </r>
  <r>
    <x v="980"/>
    <x v="2"/>
    <x v="2"/>
    <x v="16"/>
    <x v="22"/>
    <d v="2025-10-20T00:00:00"/>
    <d v="2025-10-23T00:00:00"/>
    <x v="0"/>
    <x v="0"/>
    <d v="2025-11-17T00:00:00"/>
    <n v="2"/>
    <n v="1"/>
    <n v="3"/>
    <x v="6"/>
  </r>
  <r>
    <x v="981"/>
    <x v="2"/>
    <x v="1"/>
    <x v="18"/>
    <x v="2"/>
    <m/>
    <m/>
    <x v="1"/>
    <x v="1"/>
    <m/>
    <m/>
    <m/>
    <m/>
    <x v="2"/>
  </r>
  <r>
    <x v="982"/>
    <x v="0"/>
    <x v="1"/>
    <x v="4"/>
    <x v="2"/>
    <m/>
    <m/>
    <x v="1"/>
    <x v="4"/>
    <m/>
    <m/>
    <m/>
    <m/>
    <x v="2"/>
  </r>
  <r>
    <x v="983"/>
    <x v="0"/>
    <x v="0"/>
    <x v="7"/>
    <x v="27"/>
    <d v="2025-10-10T00:00:00"/>
    <d v="2025-10-16T00:00:00"/>
    <x v="0"/>
    <x v="0"/>
    <d v="2025-10-29T00:00:00"/>
    <n v="5"/>
    <n v="1"/>
    <n v="6"/>
    <x v="0"/>
  </r>
  <r>
    <x v="984"/>
    <x v="0"/>
    <x v="2"/>
    <x v="19"/>
    <x v="4"/>
    <d v="2025-11-01T00:00:00"/>
    <d v="2025-11-05T00:00:00"/>
    <x v="0"/>
    <x v="0"/>
    <d v="2025-11-28T00:00:00"/>
    <n v="5"/>
    <n v="1"/>
    <n v="4"/>
    <x v="0"/>
  </r>
  <r>
    <x v="985"/>
    <x v="1"/>
    <x v="2"/>
    <x v="12"/>
    <x v="0"/>
    <d v="2025-10-28T00:00:00"/>
    <d v="2025-11-04T00:00:00"/>
    <x v="0"/>
    <x v="0"/>
    <d v="2025-11-28T00:00:00"/>
    <n v="2"/>
    <n v="3"/>
    <n v="7"/>
    <x v="11"/>
  </r>
  <r>
    <x v="986"/>
    <x v="0"/>
    <x v="2"/>
    <x v="7"/>
    <x v="15"/>
    <d v="2025-10-08T00:00:00"/>
    <d v="2025-10-15T00:00:00"/>
    <x v="0"/>
    <x v="0"/>
    <d v="2025-10-26T00:00:00"/>
    <n v="3"/>
    <n v="1"/>
    <n v="7"/>
    <x v="1"/>
  </r>
  <r>
    <x v="987"/>
    <x v="2"/>
    <x v="2"/>
    <x v="3"/>
    <x v="34"/>
    <d v="2025-11-04T00:00:00"/>
    <d v="2025-11-08T00:00:00"/>
    <x v="0"/>
    <x v="0"/>
    <d v="2025-11-20T00:00:00"/>
    <n v="5"/>
    <n v="2"/>
    <n v="4"/>
    <x v="6"/>
  </r>
  <r>
    <x v="988"/>
    <x v="0"/>
    <x v="0"/>
    <x v="0"/>
    <x v="9"/>
    <d v="2025-10-26T00:00:00"/>
    <d v="2025-11-01T00:00:00"/>
    <x v="0"/>
    <x v="0"/>
    <d v="2025-11-19T00:00:00"/>
    <n v="3"/>
    <n v="2"/>
    <n v="6"/>
    <x v="8"/>
  </r>
  <r>
    <x v="989"/>
    <x v="2"/>
    <x v="1"/>
    <x v="0"/>
    <x v="2"/>
    <m/>
    <m/>
    <x v="1"/>
    <x v="2"/>
    <m/>
    <m/>
    <m/>
    <m/>
    <x v="2"/>
  </r>
  <r>
    <x v="990"/>
    <x v="3"/>
    <x v="0"/>
    <x v="10"/>
    <x v="4"/>
    <d v="2025-11-05T00:00:00"/>
    <d v="2025-11-07T00:00:00"/>
    <x v="0"/>
    <x v="0"/>
    <d v="2025-12-07T00:00:00"/>
    <n v="2"/>
    <n v="5"/>
    <n v="2"/>
    <x v="5"/>
  </r>
  <r>
    <x v="991"/>
    <x v="1"/>
    <x v="2"/>
    <x v="22"/>
    <x v="23"/>
    <d v="2025-10-31T00:00:00"/>
    <d v="2025-11-07T00:00:00"/>
    <x v="0"/>
    <x v="0"/>
    <d v="2025-11-27T00:00:00"/>
    <n v="4"/>
    <n v="2"/>
    <n v="7"/>
    <x v="9"/>
  </r>
  <r>
    <x v="992"/>
    <x v="3"/>
    <x v="2"/>
    <x v="21"/>
    <x v="18"/>
    <d v="2025-10-28T00:00:00"/>
    <d v="2025-11-04T00:00:00"/>
    <x v="0"/>
    <x v="0"/>
    <d v="2025-11-14T00:00:00"/>
    <n v="5"/>
    <n v="5"/>
    <n v="7"/>
    <x v="7"/>
  </r>
  <r>
    <x v="993"/>
    <x v="3"/>
    <x v="2"/>
    <x v="15"/>
    <x v="12"/>
    <d v="2025-10-29T00:00:00"/>
    <d v="2025-11-02T00:00:00"/>
    <x v="0"/>
    <x v="0"/>
    <d v="2025-11-28T00:00:00"/>
    <n v="3"/>
    <n v="2"/>
    <n v="4"/>
    <x v="11"/>
  </r>
  <r>
    <x v="994"/>
    <x v="2"/>
    <x v="2"/>
    <x v="3"/>
    <x v="34"/>
    <d v="2025-11-05T00:00:00"/>
    <d v="2025-11-11T00:00:00"/>
    <x v="0"/>
    <x v="0"/>
    <d v="2025-12-09T00:00:00"/>
    <n v="5"/>
    <n v="3"/>
    <n v="6"/>
    <x v="10"/>
  </r>
  <r>
    <x v="995"/>
    <x v="3"/>
    <x v="2"/>
    <x v="28"/>
    <x v="21"/>
    <d v="2025-10-15T00:00:00"/>
    <d v="2025-10-21T00:00:00"/>
    <x v="0"/>
    <x v="0"/>
    <d v="2025-11-18T00:00:00"/>
    <n v="3"/>
    <n v="5"/>
    <n v="6"/>
    <x v="7"/>
  </r>
  <r>
    <x v="996"/>
    <x v="2"/>
    <x v="2"/>
    <x v="4"/>
    <x v="22"/>
    <d v="2025-10-23T00:00:00"/>
    <d v="2025-10-26T00:00:00"/>
    <x v="0"/>
    <x v="0"/>
    <d v="2025-11-12T00:00:00"/>
    <n v="5"/>
    <n v="4"/>
    <n v="3"/>
    <x v="11"/>
  </r>
  <r>
    <x v="997"/>
    <x v="0"/>
    <x v="0"/>
    <x v="11"/>
    <x v="5"/>
    <d v="2025-10-24T00:00:00"/>
    <d v="2025-10-30T00:00:00"/>
    <x v="0"/>
    <x v="0"/>
    <d v="2025-11-19T00:00:00"/>
    <n v="5"/>
    <n v="4"/>
    <n v="6"/>
    <x v="9"/>
  </r>
  <r>
    <x v="998"/>
    <x v="0"/>
    <x v="1"/>
    <x v="10"/>
    <x v="2"/>
    <m/>
    <m/>
    <x v="1"/>
    <x v="3"/>
    <m/>
    <m/>
    <m/>
    <m/>
    <x v="2"/>
  </r>
  <r>
    <x v="999"/>
    <x v="2"/>
    <x v="0"/>
    <x v="24"/>
    <x v="19"/>
    <d v="2025-10-15T00:00:00"/>
    <d v="2025-10-18T00:00:00"/>
    <x v="0"/>
    <x v="0"/>
    <d v="2025-11-13T00:00:00"/>
    <n v="5"/>
    <n v="2"/>
    <n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F3A98B-916D-4D4F-BC4B-3EB26F789AA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I7" firstHeaderRow="0" firstDataRow="1" firstDataCol="0" rowPageCount="1" colPageCount="1"/>
  <pivotFields count="16">
    <pivotField axis="axisPage"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2"/>
        <item x="0"/>
        <item t="default"/>
      </items>
    </pivotField>
    <pivotField numFmtId="1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4">
    <i>
      <x/>
    </i>
    <i i="1">
      <x v="1"/>
    </i>
    <i i="2">
      <x v="2"/>
    </i>
    <i i="3">
      <x v="3"/>
    </i>
  </colItems>
  <pageFields count="1">
    <pageField fld="0" hier="-1"/>
  </pageFields>
  <dataFields count="4">
    <dataField name="Count of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BA59C-8525-460A-AD30-A4DA8CD81EB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1:L34" firstHeaderRow="1" firstDataRow="1" firstDataCol="1" rowPageCount="1" colPageCount="1"/>
  <pivotFields count="16">
    <pivotField showAll="0"/>
    <pivotField axis="axisPage" showAll="0">
      <items count="5">
        <item x="0"/>
        <item x="3"/>
        <item x="1"/>
        <item x="2"/>
        <item t="default"/>
      </items>
    </pivotField>
    <pivotField showAll="0"/>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pivotField showAll="0"/>
    <pivotField showAll="0"/>
    <pivotField showAll="0"/>
    <pivotField showAll="0"/>
    <pivotField showAll="0"/>
    <pivotField axis="axisRow" dataField="1" showAll="0">
      <items count="13">
        <item x="6"/>
        <item x="10"/>
        <item x="0"/>
        <item x="9"/>
        <item x="8"/>
        <item x="7"/>
        <item x="5"/>
        <item x="11"/>
        <item x="1"/>
        <item x="3"/>
        <item x="4"/>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13">
    <i>
      <x/>
    </i>
    <i>
      <x v="1"/>
    </i>
    <i>
      <x v="2"/>
    </i>
    <i>
      <x v="3"/>
    </i>
    <i>
      <x v="4"/>
    </i>
    <i>
      <x v="5"/>
    </i>
    <i>
      <x v="6"/>
    </i>
    <i>
      <x v="7"/>
    </i>
    <i>
      <x v="8"/>
    </i>
    <i>
      <x v="9"/>
    </i>
    <i>
      <x v="10"/>
    </i>
    <i>
      <x v="11"/>
    </i>
    <i t="grand">
      <x/>
    </i>
  </rowItems>
  <colItems count="1">
    <i/>
  </colItems>
  <pageFields count="1">
    <pageField fld="1" item="2" hier="-1"/>
  </pageFields>
  <dataFields count="1">
    <dataField name="Count of Customer Rating" fld="1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A70699-0A2E-4B50-9EE2-65D25BAAA2B8}"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G7" firstHeaderRow="0" firstDataRow="1" firstDataCol="1"/>
  <pivotFields count="16">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pivotField dataField="1" showAll="0"/>
    <pivotField showAll="0"/>
    <pivotField dataField="1"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x v="3"/>
    </i>
  </rowItems>
  <colFields count="1">
    <field x="-2"/>
  </colFields>
  <colItems count="6">
    <i>
      <x/>
    </i>
    <i i="1">
      <x v="1"/>
    </i>
    <i i="2">
      <x v="2"/>
    </i>
    <i i="3">
      <x v="3"/>
    </i>
    <i i="4">
      <x v="4"/>
    </i>
    <i i="5">
      <x v="5"/>
    </i>
  </colItems>
  <dataFields count="6">
    <dataField name="Total Leads" fld="0" subtotal="count" baseField="1" baseItem="0"/>
    <dataField name="Pre-Booking" fld="4" subtotal="count" baseField="1" baseItem="0"/>
    <dataField name="Booking" fld="5" subtotal="count" baseField="1" baseItem="0"/>
    <dataField name="Delivery" fld="6" subtotal="count" baseField="1" baseItem="0"/>
    <dataField name="Cancellation" fld="8" subtotal="count" baseField="1" baseItem="0"/>
    <dataField name="Avg Rating" fld="13" subtotal="average" baseField="1" baseItem="0"/>
  </dataFields>
  <formats count="2">
    <format dxfId="17">
      <pivotArea collapsedLevelsAreSubtotals="1" fieldPosition="0">
        <references count="2">
          <reference field="4294967294" count="1" selected="0">
            <x v="5"/>
          </reference>
          <reference field="1" count="1">
            <x v="0"/>
          </reference>
        </references>
      </pivotArea>
    </format>
    <format dxfId="16">
      <pivotArea collapsedLevelsAreSubtotals="1" fieldPosition="0">
        <references count="2">
          <reference field="4294967294" count="1" selected="0">
            <x v="5"/>
          </reference>
          <reference field="1" count="3">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69168D-B570-48C6-874A-69CF0E130F0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7" firstHeaderRow="0" firstDataRow="1" firstDataCol="1"/>
  <pivotFields count="16">
    <pivotField dataField="1" showAll="0"/>
    <pivotField showAll="0">
      <items count="5">
        <item x="0"/>
        <item x="3"/>
        <item x="1"/>
        <item x="2"/>
        <item t="default"/>
      </items>
    </pivotField>
    <pivotField axis="axisRow" showAll="0">
      <items count="4">
        <item x="1"/>
        <item x="2"/>
        <item x="0"/>
        <item t="default"/>
      </items>
    </pivotField>
    <pivotField numFmtId="14" showAll="0"/>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pivotField dataField="1" showAll="0"/>
    <pivotField dataField="1"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2"/>
  </colFields>
  <colItems count="6">
    <i>
      <x/>
    </i>
    <i i="1">
      <x v="1"/>
    </i>
    <i i="2">
      <x v="2"/>
    </i>
    <i i="3">
      <x v="3"/>
    </i>
    <i i="4">
      <x v="4"/>
    </i>
    <i i="5">
      <x v="5"/>
    </i>
  </colItems>
  <dataFields count="6">
    <dataField name="Leads" fld="0" subtotal="count" baseField="2" baseItem="0"/>
    <dataField name="Pre-Bookings" fld="4" subtotal="count" baseField="2" baseItem="0"/>
    <dataField name="Bookings" fld="5" subtotal="count" baseField="2" baseItem="0"/>
    <dataField name="Deliveries" fld="6" subtotal="count" baseField="2" baseItem="0"/>
    <dataField name="Cancellations" fld="7" subtotal="count" baseField="2" baseItem="0"/>
    <dataField name="Avg Rating" fld="13" subtotal="average" baseField="2" baseItem="0"/>
  </dataFields>
  <formats count="2">
    <format dxfId="4">
      <pivotArea collapsedLevelsAreSubtotals="1" fieldPosition="0">
        <references count="2">
          <reference field="4294967294" count="1" selected="0">
            <x v="5"/>
          </reference>
          <reference field="2" count="2">
            <x v="1"/>
            <x v="2"/>
          </reference>
        </references>
      </pivotArea>
    </format>
    <format dxfId="3">
      <pivotArea field="2" grandRow="1" outline="0" collapsedLevelsAreSubtotals="1" axis="axisRow"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A900B2-ADB0-4F78-B029-84800FFD3ED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N9" firstHeaderRow="1" firstDataRow="2" firstDataCol="1"/>
  <pivotFields count="16">
    <pivotField showAll="0"/>
    <pivotField axis="axisRow" showAll="0">
      <items count="5">
        <item x="0"/>
        <item x="3"/>
        <item x="1"/>
        <item x="2"/>
        <item t="default"/>
      </items>
    </pivotField>
    <pivotField axis="axisCol" dataField="1" showAll="0">
      <items count="4">
        <item x="1"/>
        <item x="2"/>
        <item x="0"/>
        <item t="default"/>
      </items>
    </pivotField>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4">
    <i>
      <x/>
    </i>
    <i>
      <x v="1"/>
    </i>
    <i>
      <x v="2"/>
    </i>
    <i t="grand">
      <x/>
    </i>
  </colItems>
  <dataFields count="1">
    <dataField name="Count of Lead Type" fld="2" subtotal="count" baseField="0" baseItem="0"/>
  </dataField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0"/>
          </reference>
        </references>
      </pivotArea>
    </chartFormat>
    <chartFormat chart="7" format="4" series="1">
      <pivotArea type="data" outline="0" fieldPosition="0">
        <references count="2">
          <reference field="4294967294" count="1" selected="0">
            <x v="0"/>
          </reference>
          <reference field="2" count="1" selected="0">
            <x v="1"/>
          </reference>
        </references>
      </pivotArea>
    </chartFormat>
    <chartFormat chart="7" format="5"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10" format="6" series="1">
      <pivotArea type="data" outline="0" fieldPosition="0">
        <references count="2">
          <reference field="4294967294" count="1" selected="0">
            <x v="0"/>
          </reference>
          <reference field="2" count="1" selected="0">
            <x v="0"/>
          </reference>
        </references>
      </pivotArea>
    </chartFormat>
    <chartFormat chart="10" format="7"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13A1CE-8B96-40AA-85CE-9E47DAE6E2C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0" firstDataRow="1" firstDataCol="1"/>
  <pivotFields count="16">
    <pivotField showAll="0"/>
    <pivotField axis="axisRow" showAll="0">
      <items count="5">
        <item x="0"/>
        <item x="3"/>
        <item x="1"/>
        <item x="2"/>
        <item t="default"/>
      </items>
    </pivotField>
    <pivotField showAll="0">
      <items count="4">
        <item x="1"/>
        <item x="2"/>
        <item x="0"/>
        <item t="default"/>
      </items>
    </pivotField>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pivotField showAll="0"/>
    <pivotField showAll="0"/>
    <pivotField dataField="1"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3">
    <i>
      <x/>
    </i>
    <i i="1">
      <x v="1"/>
    </i>
    <i i="2">
      <x v="2"/>
    </i>
  </colItems>
  <dataFields count="3">
    <dataField name="Avg TAT Pre-Bookings" fld="10" subtotal="average" baseField="1" baseItem="0"/>
    <dataField name="Avg TAT Booking" fld="11" subtotal="average" baseField="1" baseItem="0"/>
    <dataField name="Avg TAT Delivery" fld="12" subtotal="average" baseField="1" baseItem="0"/>
  </dataFields>
  <formats count="1">
    <format dxfId="2">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43C230-97CA-4D2D-BEC0-496CC15A5D9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6">
    <pivotField showAll="0"/>
    <pivotField showAll="0"/>
    <pivotField showAll="0">
      <items count="4">
        <item x="1"/>
        <item x="2"/>
        <item x="0"/>
        <item t="default"/>
      </items>
    </pivotField>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items count="3">
        <item x="0"/>
        <item x="1"/>
        <item t="default"/>
      </items>
    </pivotField>
    <pivotField axis="axisRow" dataField="1" showAll="0">
      <items count="7">
        <item x="3"/>
        <item x="4"/>
        <item x="2"/>
        <item x="1"/>
        <item x="5"/>
        <item n=" " h="1" x="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Count of Cancellation Reason" fld="8" subtotal="count" baseField="0" baseItem="0"/>
  </dataFields>
  <formats count="1">
    <format dxfId="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F3C75D-C29B-44E1-83F5-C1B3733843FA}" name="PivotTable1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4:G20" firstHeaderRow="1" firstDataRow="2" firstDataCol="1"/>
  <pivotFields count="16">
    <pivotField showAll="0"/>
    <pivotField axis="axisRow" showAll="0">
      <items count="5">
        <item x="0"/>
        <item x="3"/>
        <item x="1"/>
        <item x="2"/>
        <item t="default"/>
      </items>
    </pivotField>
    <pivotField showAll="0">
      <items count="4">
        <item x="1"/>
        <item x="2"/>
        <item x="0"/>
        <item t="default"/>
      </items>
    </pivotField>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pivotField axis="axisCol" dataField="1" showAll="0">
      <items count="7">
        <item x="3"/>
        <item x="4"/>
        <item x="2"/>
        <item x="1"/>
        <item x="5"/>
        <item x="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8"/>
  </colFields>
  <colItems count="6">
    <i>
      <x/>
    </i>
    <i>
      <x v="1"/>
    </i>
    <i>
      <x v="2"/>
    </i>
    <i>
      <x v="3"/>
    </i>
    <i>
      <x v="4"/>
    </i>
    <i>
      <x v="5"/>
    </i>
  </colItems>
  <dataFields count="1">
    <dataField name="Count of Cancellation Reason" fld="8" subtotal="count"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12" format="24" series="1">
      <pivotArea type="data" outline="0" fieldPosition="0">
        <references count="2">
          <reference field="4294967294" count="1" selected="0">
            <x v="0"/>
          </reference>
          <reference field="8" count="1" selected="0">
            <x v="0"/>
          </reference>
        </references>
      </pivotArea>
    </chartFormat>
    <chartFormat chart="12" format="25" series="1">
      <pivotArea type="data" outline="0" fieldPosition="0">
        <references count="2">
          <reference field="4294967294" count="1" selected="0">
            <x v="0"/>
          </reference>
          <reference field="8" count="1" selected="0">
            <x v="1"/>
          </reference>
        </references>
      </pivotArea>
    </chartFormat>
    <chartFormat chart="12" format="26" series="1">
      <pivotArea type="data" outline="0" fieldPosition="0">
        <references count="2">
          <reference field="4294967294" count="1" selected="0">
            <x v="0"/>
          </reference>
          <reference field="8" count="1" selected="0">
            <x v="2"/>
          </reference>
        </references>
      </pivotArea>
    </chartFormat>
    <chartFormat chart="12" format="27" series="1">
      <pivotArea type="data" outline="0" fieldPosition="0">
        <references count="2">
          <reference field="4294967294" count="1" selected="0">
            <x v="0"/>
          </reference>
          <reference field="8" count="1" selected="0">
            <x v="5"/>
          </reference>
        </references>
      </pivotArea>
    </chartFormat>
    <chartFormat chart="12" format="28" series="1">
      <pivotArea type="data" outline="0" fieldPosition="0">
        <references count="2">
          <reference field="4294967294" count="1" selected="0">
            <x v="0"/>
          </reference>
          <reference field="8" count="1" selected="0">
            <x v="3"/>
          </reference>
        </references>
      </pivotArea>
    </chartFormat>
    <chartFormat chart="12" format="2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3F1F3B-714C-42C2-9314-786B5A2536F3}" name="PivotTable1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B14" firstHeaderRow="1" firstDataRow="1" firstDataCol="1"/>
  <pivotFields count="16">
    <pivotField showAll="0"/>
    <pivotField showAll="0"/>
    <pivotField showAll="0"/>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pivotField showAll="0"/>
    <pivotField showAll="0"/>
    <pivotField showAll="0"/>
    <pivotField showAll="0"/>
    <pivotField showAll="0"/>
    <pivotField axis="axisRow" dataField="1" showAll="0">
      <items count="13">
        <item x="6"/>
        <item x="10"/>
        <item x="0"/>
        <item x="9"/>
        <item x="8"/>
        <item x="7"/>
        <item x="5"/>
        <item x="11"/>
        <item x="1"/>
        <item x="3"/>
        <item x="4"/>
        <item n=" "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12">
    <i>
      <x/>
    </i>
    <i>
      <x v="1"/>
    </i>
    <i>
      <x v="2"/>
    </i>
    <i>
      <x v="3"/>
    </i>
    <i>
      <x v="4"/>
    </i>
    <i>
      <x v="5"/>
    </i>
    <i>
      <x v="6"/>
    </i>
    <i>
      <x v="7"/>
    </i>
    <i>
      <x v="8"/>
    </i>
    <i>
      <x v="9"/>
    </i>
    <i>
      <x v="10"/>
    </i>
    <i>
      <x v="11"/>
    </i>
  </rowItems>
  <colItems count="1">
    <i/>
  </colItems>
  <dataFields count="1">
    <dataField name="Sum of Customer Rating" fld="13"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856EDF-42CB-4853-BD2A-F0B936241DBE}"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8:B22" firstHeaderRow="1" firstDataRow="1" firstDataCol="1"/>
  <pivotFields count="16">
    <pivotField showAll="0"/>
    <pivotField axis="axisRow" showAll="0">
      <items count="5">
        <item x="0"/>
        <item x="3"/>
        <item x="1"/>
        <item x="2"/>
        <item t="default"/>
      </items>
    </pivotField>
    <pivotField showAll="0">
      <items count="4">
        <item x="1"/>
        <item x="2"/>
        <item x="0"/>
        <item t="default"/>
      </items>
    </pivotField>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x v="3"/>
    </i>
  </rowItems>
  <colItems count="1">
    <i/>
  </colItems>
  <dataFields count="1">
    <dataField name="Avg Customer Rating" fld="13" subtotal="average" baseField="1" baseItem="0" numFmtId="2"/>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CB611D2E-476A-400A-946F-51CD7F1DB2DB}" sourceName="Store Name">
  <pivotTables>
    <pivotTable tabId="9" name="PivotTable6"/>
    <pivotTable tabId="12" name="PivotTable13"/>
    <pivotTable tabId="13" name="PivotTable15"/>
    <pivotTable tabId="10" name="PivotTable10"/>
    <pivotTable tabId="10" name="PivotTable9"/>
    <pivotTable tabId="11" name="PivotTable11"/>
  </pivotTables>
  <data>
    <tabular pivotCacheId="645822858">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BFD5B45C-E079-4269-9439-CDD8ADB5D4D4}" sourceName="Lead Type">
  <pivotTables>
    <pivotTable tabId="10" name="PivotTable9"/>
    <pivotTable tabId="12" name="PivotTable12"/>
    <pivotTable tabId="12" name="PivotTable13"/>
    <pivotTable tabId="13" name="PivotTable15"/>
    <pivotTable tabId="8" name="PivotTable2"/>
    <pivotTable tabId="10" name="PivotTable10"/>
    <pivotTable tabId="9" name="PivotTable6"/>
    <pivotTable tabId="11" name="PivotTable11"/>
  </pivotTables>
  <data>
    <tabular pivotCacheId="64582285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eps" xr10:uid="{94286A54-240D-422D-A8CF-D05AAEEF3232}" sourceName="Steps">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5FD561FB-D4A0-4F43-9125-3689A4E8B8B1}" cache="Slicer_Store_Name" caption="Store Name" rowHeight="180000"/>
  <slicer name="Lead Type 1" xr10:uid="{F1D3F731-BA65-417C-BC3F-33B5D0AEE6B0}" cache="Slicer_Lead_Type" caption="Lead Type"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eps 1" xr10:uid="{3C5E8224-91A7-45EA-9597-ED29BDAF4199}" cache="Slicer_Steps" caption="Steps"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eps" xr10:uid="{CDEC1070-1162-43DA-848E-E3D36A9943FA}" cache="Slicer_Steps" caption="Step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4AAE212D-3298-4283-98BB-BC999470128E}" cache="Slicer_Store_Name" caption="Store 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ype" xr10:uid="{4ABFFBCF-A36F-4284-A5C8-82650D40AE50}" cache="Slicer_Lead_Type" caption="Lead Type"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36BE47-835F-4FFA-A870-3F0A7EB72F5A}" name="Table1" displayName="Table1" ref="A1:N1001" totalsRowShown="0" headerRowDxfId="28">
  <autoFilter ref="A1:N1001" xr:uid="{8536BE47-835F-4FFA-A870-3F0A7EB72F5A}"/>
  <tableColumns count="14">
    <tableColumn id="1" xr3:uid="{DCCBA658-FB33-4289-A8AF-66AA7B62A637}" name="Lead ID"/>
    <tableColumn id="2" xr3:uid="{097615FB-A487-490E-BA94-28A4BE10E1DD}" name="Store Name"/>
    <tableColumn id="3" xr3:uid="{000517FC-1BF8-494A-BCC8-73D08552A73B}" name="Lead Type"/>
    <tableColumn id="4" xr3:uid="{CDA90341-4857-498E-96B9-202BCE52F1CB}" name="Lead Date" dataDxfId="27"/>
    <tableColumn id="5" xr3:uid="{D7F82A56-5148-4B5E-BE0E-2311B5B28924}" name="Pre-Booking Date" dataDxfId="26"/>
    <tableColumn id="6" xr3:uid="{262FD587-BA31-4259-B183-18546EF60F0B}" name="Booking Date" dataDxfId="25"/>
    <tableColumn id="7" xr3:uid="{6B7DEB01-CB40-4C29-8773-9B93D93364AC}" name="Delivery Date" dataDxfId="24"/>
    <tableColumn id="8" xr3:uid="{61C98ED8-C872-4A0E-A1B0-73BAB6839C07}" name="Cancellation Status"/>
    <tableColumn id="9" xr3:uid="{FCCBBF30-9E7C-4C47-AAD9-D4C164B9AB47}" name="Cancellation Reason" dataDxfId="23"/>
    <tableColumn id="10" xr3:uid="{43FA4347-6078-4098-BFB1-0B0365028A16}" name="Service Follow-up Date" dataDxfId="22"/>
    <tableColumn id="11" xr3:uid="{4AC9A755-6752-4DB4-9B9B-7F2F9D3AD538}" name="TAT Pre-Booking (Days)" dataDxfId="21"/>
    <tableColumn id="12" xr3:uid="{CF500B36-765E-4F77-9C37-C665B898EB36}" name="TAT Booking (Days)" dataDxfId="20"/>
    <tableColumn id="13" xr3:uid="{56048440-CC8D-4A11-B8DD-94EB8CFD7D81}" name="TAT Delivery (Days)" dataDxfId="19"/>
    <tableColumn id="14" xr3:uid="{BD47BC7A-0B03-401F-96DA-943769461485}" name="Customer Rating"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44B898-1118-401F-A2B3-4118752F2A16}" name="Table2" displayName="Table2" ref="A4:D8" totalsRowShown="0">
  <autoFilter ref="A4:D8" xr:uid="{4844B898-1118-401F-A2B3-4118752F2A16}"/>
  <tableColumns count="4">
    <tableColumn id="1" xr3:uid="{0C66FE07-D4CC-44F6-BD2F-141332FB467E}" name="Steps"/>
    <tableColumn id="2" xr3:uid="{DFEADA2F-4989-4673-A1C7-9B4A24C9F635}" name="Total Count"/>
    <tableColumn id="3" xr3:uid="{FFB0B12B-C981-436E-A9F9-537AC073BA13}" name="% Conversion">
      <calculatedColumnFormula>(B6/B5)*100</calculatedColumnFormula>
    </tableColumn>
    <tableColumn id="4" xr3:uid="{57EC1863-ADB0-4B3F-9CD1-C42E160609A6}" name="% Drop-off">
      <calculatedColumnFormula>(1-(B5/B4))*100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A3EF56-2D61-42BC-AC1F-1068649765D2}" name="Table5" displayName="Table5" ref="A13:I17" totalsRowShown="0" headerRowDxfId="15" headerRowBorderDxfId="14">
  <autoFilter ref="A13:I17" xr:uid="{79A3EF56-2D61-42BC-AC1F-1068649765D2}"/>
  <tableColumns count="9">
    <tableColumn id="1" xr3:uid="{2507C4D1-B4A5-4B10-88BF-A4011CBED115}" name="Row Labels" dataDxfId="13">
      <calculatedColumnFormula>A4</calculatedColumnFormula>
    </tableColumn>
    <tableColumn id="2" xr3:uid="{DCDA088F-9E52-4B65-AA88-1EECC2D8846A}" name="Total Leads" dataDxfId="12">
      <calculatedColumnFormula>B4</calculatedColumnFormula>
    </tableColumn>
    <tableColumn id="3" xr3:uid="{69AD24CF-2FCD-44A0-BED0-64E90C09CDAC}" name="Pre-Bookings" dataDxfId="11">
      <calculatedColumnFormula>C4</calculatedColumnFormula>
    </tableColumn>
    <tableColumn id="4" xr3:uid="{DBCB0FFB-9E76-4DA8-92D1-AA2B83CB3144}" name="Booking" dataDxfId="10">
      <calculatedColumnFormula>D4</calculatedColumnFormula>
    </tableColumn>
    <tableColumn id="5" xr3:uid="{266DAC20-2DE8-4879-8F72-B8DDBA4461BE}" name="Delivery" dataDxfId="9">
      <calculatedColumnFormula>E4</calculatedColumnFormula>
    </tableColumn>
    <tableColumn id="6" xr3:uid="{0B8955A1-BBB8-43F8-9655-00E6184029A3}" name="Cancellation" dataDxfId="8">
      <calculatedColumnFormula>F4</calculatedColumnFormula>
    </tableColumn>
    <tableColumn id="7" xr3:uid="{A1128906-B9FE-4DE9-8AB4-BF7A2527D17B}" name="Avg Rating" dataDxfId="7">
      <calculatedColumnFormula>G4</calculatedColumnFormula>
    </tableColumn>
    <tableColumn id="8" xr3:uid="{187C968D-70BC-40A3-926A-8B9BD651EEF5}" name="% Conversion" dataDxfId="6">
      <calculatedColumnFormula>(E14/B14)*100</calculatedColumnFormula>
    </tableColumn>
    <tableColumn id="9" xr3:uid="{23ED67E2-DF4B-41D8-BC74-8B3B674FE5AB}" name="% Cancellation" dataDxfId="5">
      <calculatedColumnFormula>(F14/B14)*100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C53F-3DCE-41DB-A853-B59DB4C8B06D}">
  <dimension ref="E23:J24"/>
  <sheetViews>
    <sheetView showGridLines="0" tabSelected="1" zoomScaleNormal="100" workbookViewId="0">
      <selection activeCell="K1" sqref="K1:K1048576"/>
    </sheetView>
  </sheetViews>
  <sheetFormatPr defaultRowHeight="18" x14ac:dyDescent="0.5"/>
  <cols>
    <col min="4" max="4" width="7.88671875" customWidth="1"/>
    <col min="5" max="5" width="10.5546875" bestFit="1" customWidth="1"/>
    <col min="6" max="6" width="9.6640625" customWidth="1"/>
    <col min="10" max="10" width="8.77734375" customWidth="1"/>
  </cols>
  <sheetData>
    <row r="23" spans="5:10" ht="41.4" x14ac:dyDescent="0.5">
      <c r="E23" s="19" t="s">
        <v>1051</v>
      </c>
      <c r="F23" s="19" t="s">
        <v>1075</v>
      </c>
      <c r="G23" s="19" t="s">
        <v>1076</v>
      </c>
      <c r="H23" s="19" t="s">
        <v>1077</v>
      </c>
      <c r="I23" s="19" t="s">
        <v>1078</v>
      </c>
      <c r="J23" s="19" t="s">
        <v>1079</v>
      </c>
    </row>
    <row r="24" spans="5:10" x14ac:dyDescent="0.5">
      <c r="E24" s="20">
        <f>COUNTA(RawData!A2:A1001)</f>
        <v>1000</v>
      </c>
      <c r="F24" s="20">
        <f>AVERAGE(FunnelAnalysis!B7/FunnelAnalysis!B5)*100</f>
        <v>81.2</v>
      </c>
      <c r="G24" s="20">
        <f>(GETPIVOTDATA("Cancellation Reason",CancellationAnalysis!$A$3)/DASHBOARD!E24)*100</f>
        <v>27.1</v>
      </c>
      <c r="H24" s="21">
        <f>AVERAGE('Customer Rating'!B19:B22)</f>
        <v>4.8588374456592938</v>
      </c>
      <c r="I24" s="21">
        <f>TATAnalysis!B10</f>
        <v>10.583743842364532</v>
      </c>
      <c r="J24" s="21">
        <f>AVERAGE(StoreAnalysis!E21:E24)</f>
        <v>-53.077339181965328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8D52-B053-4DB6-94A7-8EF83AD00641}">
  <dimension ref="A1:N1001"/>
  <sheetViews>
    <sheetView workbookViewId="0">
      <selection activeCell="B2" sqref="B2"/>
    </sheetView>
  </sheetViews>
  <sheetFormatPr defaultRowHeight="18" x14ac:dyDescent="0.5"/>
  <cols>
    <col min="1" max="1" width="9.109375" customWidth="1"/>
    <col min="2" max="2" width="12.77734375" customWidth="1"/>
    <col min="3" max="3" width="11.44140625" customWidth="1"/>
    <col min="4" max="4" width="11.21875" customWidth="1"/>
    <col min="5" max="5" width="17.5546875" customWidth="1"/>
    <col min="6" max="6" width="14.109375" customWidth="1"/>
    <col min="7" max="7" width="14" customWidth="1"/>
    <col min="8" max="8" width="11.88671875" customWidth="1"/>
    <col min="9" max="9" width="11.5546875" style="2" customWidth="1"/>
    <col min="10" max="10" width="12.6640625" customWidth="1"/>
    <col min="11" max="14" width="11.109375" style="7" customWidth="1"/>
    <col min="16" max="16" width="10.77734375" customWidth="1"/>
    <col min="17" max="19" width="8.88671875" customWidth="1"/>
  </cols>
  <sheetData>
    <row r="1" spans="1:14" s="2" customFormat="1" ht="54" x14ac:dyDescent="0.5">
      <c r="A1" s="3" t="s">
        <v>0</v>
      </c>
      <c r="B1" s="3" t="s">
        <v>1</v>
      </c>
      <c r="C1" s="3" t="s">
        <v>2</v>
      </c>
      <c r="D1" s="3" t="s">
        <v>3</v>
      </c>
      <c r="E1" s="3" t="s">
        <v>4</v>
      </c>
      <c r="F1" s="3" t="s">
        <v>5</v>
      </c>
      <c r="G1" s="3" t="s">
        <v>6</v>
      </c>
      <c r="H1" s="3" t="s">
        <v>7</v>
      </c>
      <c r="I1" s="3" t="s">
        <v>8</v>
      </c>
      <c r="J1" s="3" t="s">
        <v>9</v>
      </c>
      <c r="K1" s="6" t="s">
        <v>10</v>
      </c>
      <c r="L1" s="6" t="s">
        <v>11</v>
      </c>
      <c r="M1" s="6" t="s">
        <v>12</v>
      </c>
      <c r="N1" s="6" t="s">
        <v>13</v>
      </c>
    </row>
    <row r="2" spans="1:14" x14ac:dyDescent="0.5">
      <c r="A2" t="s">
        <v>14</v>
      </c>
      <c r="B2" t="s">
        <v>15</v>
      </c>
      <c r="C2" t="s">
        <v>16</v>
      </c>
      <c r="D2" s="1">
        <v>45951</v>
      </c>
      <c r="E2" s="1">
        <v>45955</v>
      </c>
      <c r="F2" s="1">
        <v>45959</v>
      </c>
      <c r="G2" s="1">
        <v>45964</v>
      </c>
      <c r="H2" t="s">
        <v>17</v>
      </c>
      <c r="J2" s="1">
        <v>45989</v>
      </c>
      <c r="K2" s="7">
        <v>4</v>
      </c>
      <c r="L2" s="7">
        <v>4</v>
      </c>
      <c r="M2" s="7">
        <v>5</v>
      </c>
      <c r="N2" s="7">
        <v>2</v>
      </c>
    </row>
    <row r="3" spans="1:14" x14ac:dyDescent="0.5">
      <c r="A3" t="s">
        <v>18</v>
      </c>
      <c r="B3" t="s">
        <v>19</v>
      </c>
      <c r="C3" t="s">
        <v>16</v>
      </c>
      <c r="D3" s="1">
        <v>45941</v>
      </c>
      <c r="E3" s="1">
        <v>45944</v>
      </c>
      <c r="F3" s="1">
        <v>45949</v>
      </c>
      <c r="G3" s="1">
        <v>45956</v>
      </c>
      <c r="H3" t="s">
        <v>17</v>
      </c>
      <c r="J3" s="1">
        <v>45983</v>
      </c>
      <c r="K3" s="7">
        <v>3</v>
      </c>
      <c r="L3" s="7">
        <v>5</v>
      </c>
      <c r="M3" s="7">
        <v>7</v>
      </c>
      <c r="N3" s="7">
        <v>8</v>
      </c>
    </row>
    <row r="4" spans="1:14" x14ac:dyDescent="0.5">
      <c r="A4" t="s">
        <v>20</v>
      </c>
      <c r="B4" t="s">
        <v>21</v>
      </c>
      <c r="C4" t="s">
        <v>22</v>
      </c>
      <c r="D4" s="1">
        <v>45931</v>
      </c>
      <c r="H4" t="s">
        <v>23</v>
      </c>
      <c r="I4" s="2" t="s">
        <v>24</v>
      </c>
    </row>
    <row r="5" spans="1:14" ht="36" x14ac:dyDescent="0.5">
      <c r="A5" t="s">
        <v>25</v>
      </c>
      <c r="B5" t="s">
        <v>15</v>
      </c>
      <c r="C5" t="s">
        <v>22</v>
      </c>
      <c r="D5" s="1">
        <v>45958</v>
      </c>
      <c r="H5" t="s">
        <v>23</v>
      </c>
      <c r="I5" s="2" t="s">
        <v>26</v>
      </c>
    </row>
    <row r="6" spans="1:14" x14ac:dyDescent="0.5">
      <c r="A6" t="s">
        <v>27</v>
      </c>
      <c r="B6" t="s">
        <v>19</v>
      </c>
      <c r="C6" t="s">
        <v>16</v>
      </c>
      <c r="D6" s="1">
        <v>45944</v>
      </c>
      <c r="E6" s="1">
        <v>45948</v>
      </c>
      <c r="F6" s="1">
        <v>45951</v>
      </c>
      <c r="G6" s="1">
        <v>45954</v>
      </c>
      <c r="H6" t="s">
        <v>17</v>
      </c>
      <c r="J6" s="1">
        <v>45973</v>
      </c>
      <c r="K6" s="7">
        <v>4</v>
      </c>
      <c r="L6" s="7">
        <v>3</v>
      </c>
      <c r="M6" s="7">
        <v>3</v>
      </c>
      <c r="N6" s="7">
        <v>8</v>
      </c>
    </row>
    <row r="7" spans="1:14" x14ac:dyDescent="0.5">
      <c r="A7" t="s">
        <v>28</v>
      </c>
      <c r="B7" t="s">
        <v>19</v>
      </c>
      <c r="C7" t="s">
        <v>16</v>
      </c>
      <c r="D7" s="1">
        <v>45957</v>
      </c>
      <c r="E7" s="1">
        <v>45961</v>
      </c>
      <c r="F7" s="1">
        <v>45965</v>
      </c>
      <c r="G7" s="1">
        <v>45968</v>
      </c>
      <c r="H7" t="s">
        <v>17</v>
      </c>
      <c r="J7" s="1">
        <v>45983</v>
      </c>
      <c r="K7" s="7">
        <v>4</v>
      </c>
      <c r="L7" s="7">
        <v>4</v>
      </c>
      <c r="M7" s="7">
        <v>3</v>
      </c>
      <c r="N7" s="7">
        <v>9</v>
      </c>
    </row>
    <row r="8" spans="1:14" x14ac:dyDescent="0.5">
      <c r="A8" t="s">
        <v>29</v>
      </c>
      <c r="B8" t="s">
        <v>21</v>
      </c>
      <c r="C8" t="s">
        <v>30</v>
      </c>
      <c r="D8" s="1">
        <v>45946</v>
      </c>
      <c r="E8" s="1">
        <v>45950</v>
      </c>
      <c r="F8" s="1">
        <v>45951</v>
      </c>
      <c r="G8" s="1">
        <v>45958</v>
      </c>
      <c r="H8" t="s">
        <v>17</v>
      </c>
      <c r="J8" s="1">
        <v>45983</v>
      </c>
      <c r="K8" s="7">
        <v>4</v>
      </c>
      <c r="L8" s="7">
        <v>1</v>
      </c>
      <c r="M8" s="7">
        <v>7</v>
      </c>
      <c r="N8" s="7">
        <v>10</v>
      </c>
    </row>
    <row r="9" spans="1:14" ht="36" x14ac:dyDescent="0.5">
      <c r="A9" t="s">
        <v>31</v>
      </c>
      <c r="B9" t="s">
        <v>32</v>
      </c>
      <c r="C9" t="s">
        <v>16</v>
      </c>
      <c r="D9" s="1">
        <v>45934</v>
      </c>
      <c r="E9" s="1">
        <v>45935</v>
      </c>
      <c r="F9" s="1">
        <v>45938</v>
      </c>
      <c r="G9" s="1">
        <v>45945</v>
      </c>
      <c r="H9" t="s">
        <v>23</v>
      </c>
      <c r="I9" s="2" t="s">
        <v>33</v>
      </c>
      <c r="K9" s="7">
        <v>1</v>
      </c>
      <c r="L9" s="7">
        <v>3</v>
      </c>
      <c r="M9" s="7">
        <v>7</v>
      </c>
    </row>
    <row r="10" spans="1:14" x14ac:dyDescent="0.5">
      <c r="A10" t="s">
        <v>34</v>
      </c>
      <c r="B10" t="s">
        <v>15</v>
      </c>
      <c r="C10" t="s">
        <v>30</v>
      </c>
      <c r="D10" s="1">
        <v>45944</v>
      </c>
      <c r="E10" s="1">
        <v>45947</v>
      </c>
      <c r="F10" s="1">
        <v>45950</v>
      </c>
      <c r="G10" s="1">
        <v>45955</v>
      </c>
      <c r="H10" t="s">
        <v>17</v>
      </c>
      <c r="J10" s="1">
        <v>45966</v>
      </c>
      <c r="K10" s="7">
        <v>3</v>
      </c>
      <c r="L10" s="7">
        <v>3</v>
      </c>
      <c r="M10" s="7">
        <v>5</v>
      </c>
      <c r="N10" s="7">
        <v>8</v>
      </c>
    </row>
    <row r="11" spans="1:14" x14ac:dyDescent="0.5">
      <c r="A11" t="s">
        <v>35</v>
      </c>
      <c r="B11" t="s">
        <v>21</v>
      </c>
      <c r="C11" t="s">
        <v>16</v>
      </c>
      <c r="D11" s="1">
        <v>45961</v>
      </c>
      <c r="E11" s="1">
        <v>45965</v>
      </c>
      <c r="F11" s="1">
        <v>45966</v>
      </c>
      <c r="G11" s="1">
        <v>45971</v>
      </c>
      <c r="H11" t="s">
        <v>17</v>
      </c>
      <c r="J11" s="1">
        <v>45983</v>
      </c>
      <c r="K11" s="7">
        <v>4</v>
      </c>
      <c r="L11" s="7">
        <v>1</v>
      </c>
      <c r="M11" s="7">
        <v>5</v>
      </c>
      <c r="N11" s="7">
        <v>6</v>
      </c>
    </row>
    <row r="12" spans="1:14" x14ac:dyDescent="0.5">
      <c r="A12" t="s">
        <v>36</v>
      </c>
      <c r="B12" t="s">
        <v>15</v>
      </c>
      <c r="C12" t="s">
        <v>22</v>
      </c>
      <c r="D12" s="1">
        <v>45942</v>
      </c>
      <c r="H12" t="s">
        <v>23</v>
      </c>
      <c r="I12" s="2" t="s">
        <v>24</v>
      </c>
    </row>
    <row r="13" spans="1:14" x14ac:dyDescent="0.5">
      <c r="A13" t="s">
        <v>37</v>
      </c>
      <c r="B13" t="s">
        <v>19</v>
      </c>
      <c r="C13" t="s">
        <v>16</v>
      </c>
      <c r="D13" s="1">
        <v>45951</v>
      </c>
      <c r="E13" s="1">
        <v>45954</v>
      </c>
      <c r="F13" s="1">
        <v>45958</v>
      </c>
      <c r="G13" s="1">
        <v>45960</v>
      </c>
      <c r="H13" t="s">
        <v>17</v>
      </c>
      <c r="J13" s="1">
        <v>45971</v>
      </c>
      <c r="K13" s="7">
        <v>3</v>
      </c>
      <c r="L13" s="7">
        <v>4</v>
      </c>
      <c r="M13" s="7">
        <v>2</v>
      </c>
      <c r="N13" s="7">
        <v>0</v>
      </c>
    </row>
    <row r="14" spans="1:14" x14ac:dyDescent="0.5">
      <c r="A14" t="s">
        <v>38</v>
      </c>
      <c r="B14" t="s">
        <v>19</v>
      </c>
      <c r="C14" t="s">
        <v>16</v>
      </c>
      <c r="D14" s="1">
        <v>45959</v>
      </c>
      <c r="E14" s="1">
        <v>45962</v>
      </c>
      <c r="F14" s="1">
        <v>45967</v>
      </c>
      <c r="G14" s="1">
        <v>45974</v>
      </c>
      <c r="H14" t="s">
        <v>17</v>
      </c>
      <c r="J14" s="1">
        <v>45991</v>
      </c>
      <c r="K14" s="7">
        <v>3</v>
      </c>
      <c r="L14" s="7">
        <v>5</v>
      </c>
      <c r="M14" s="7">
        <v>7</v>
      </c>
      <c r="N14" s="7">
        <v>10</v>
      </c>
    </row>
    <row r="15" spans="1:14" x14ac:dyDescent="0.5">
      <c r="A15" t="s">
        <v>39</v>
      </c>
      <c r="B15" t="s">
        <v>32</v>
      </c>
      <c r="C15" t="s">
        <v>16</v>
      </c>
      <c r="D15" s="1">
        <v>45957</v>
      </c>
      <c r="E15" s="1">
        <v>45960</v>
      </c>
      <c r="F15" s="1">
        <v>45963</v>
      </c>
      <c r="G15" s="1">
        <v>45969</v>
      </c>
      <c r="H15" t="s">
        <v>17</v>
      </c>
      <c r="J15" s="1">
        <v>45998</v>
      </c>
      <c r="K15" s="7">
        <v>3</v>
      </c>
      <c r="L15" s="7">
        <v>3</v>
      </c>
      <c r="M15" s="7">
        <v>6</v>
      </c>
      <c r="N15" s="7">
        <v>2</v>
      </c>
    </row>
    <row r="16" spans="1:14" ht="36" x14ac:dyDescent="0.5">
      <c r="A16" t="s">
        <v>40</v>
      </c>
      <c r="B16" t="s">
        <v>19</v>
      </c>
      <c r="C16" t="s">
        <v>30</v>
      </c>
      <c r="D16" s="1">
        <v>45945</v>
      </c>
      <c r="E16" s="1">
        <v>45947</v>
      </c>
      <c r="F16" s="1">
        <v>45948</v>
      </c>
      <c r="G16" s="1">
        <v>45951</v>
      </c>
      <c r="H16" t="s">
        <v>23</v>
      </c>
      <c r="I16" s="2" t="s">
        <v>33</v>
      </c>
      <c r="K16" s="7">
        <v>2</v>
      </c>
      <c r="L16" s="7">
        <v>1</v>
      </c>
      <c r="M16" s="7">
        <v>3</v>
      </c>
    </row>
    <row r="17" spans="1:14" x14ac:dyDescent="0.5">
      <c r="A17" t="s">
        <v>41</v>
      </c>
      <c r="B17" t="s">
        <v>19</v>
      </c>
      <c r="C17" t="s">
        <v>16</v>
      </c>
      <c r="D17" s="1">
        <v>45953</v>
      </c>
      <c r="E17" s="1">
        <v>45957</v>
      </c>
      <c r="F17" s="1">
        <v>45962</v>
      </c>
      <c r="G17" s="1">
        <v>45967</v>
      </c>
      <c r="H17" t="s">
        <v>17</v>
      </c>
      <c r="J17" s="1">
        <v>45984</v>
      </c>
      <c r="K17" s="7">
        <v>4</v>
      </c>
      <c r="L17" s="7">
        <v>5</v>
      </c>
      <c r="M17" s="7">
        <v>5</v>
      </c>
      <c r="N17" s="7">
        <v>8</v>
      </c>
    </row>
    <row r="18" spans="1:14" x14ac:dyDescent="0.5">
      <c r="A18" t="s">
        <v>42</v>
      </c>
      <c r="B18" t="s">
        <v>21</v>
      </c>
      <c r="C18" t="s">
        <v>30</v>
      </c>
      <c r="D18" s="1">
        <v>45935</v>
      </c>
      <c r="E18" s="1">
        <v>45936</v>
      </c>
      <c r="F18" s="1">
        <v>45940</v>
      </c>
      <c r="G18" s="1">
        <v>45946</v>
      </c>
      <c r="H18" t="s">
        <v>17</v>
      </c>
      <c r="J18" s="1">
        <v>45956</v>
      </c>
      <c r="K18" s="7">
        <v>1</v>
      </c>
      <c r="L18" s="7">
        <v>4</v>
      </c>
      <c r="M18" s="7">
        <v>6</v>
      </c>
      <c r="N18" s="7">
        <v>2</v>
      </c>
    </row>
    <row r="19" spans="1:14" x14ac:dyDescent="0.5">
      <c r="A19" t="s">
        <v>43</v>
      </c>
      <c r="B19" t="s">
        <v>15</v>
      </c>
      <c r="C19" t="s">
        <v>30</v>
      </c>
      <c r="D19" s="1">
        <v>45944</v>
      </c>
      <c r="E19" s="1">
        <v>45945</v>
      </c>
      <c r="F19" s="1">
        <v>45948</v>
      </c>
      <c r="G19" s="1">
        <v>45953</v>
      </c>
      <c r="H19" t="s">
        <v>17</v>
      </c>
      <c r="J19" s="1">
        <v>45979</v>
      </c>
      <c r="K19" s="7">
        <v>1</v>
      </c>
      <c r="L19" s="7">
        <v>3</v>
      </c>
      <c r="M19" s="7">
        <v>5</v>
      </c>
      <c r="N19" s="7">
        <v>0</v>
      </c>
    </row>
    <row r="20" spans="1:14" x14ac:dyDescent="0.5">
      <c r="A20" t="s">
        <v>44</v>
      </c>
      <c r="B20" t="s">
        <v>15</v>
      </c>
      <c r="C20" t="s">
        <v>16</v>
      </c>
      <c r="D20" s="1">
        <v>45936</v>
      </c>
      <c r="E20" s="1">
        <v>45937</v>
      </c>
      <c r="F20" s="1">
        <v>45942</v>
      </c>
      <c r="G20" s="1">
        <v>45947</v>
      </c>
      <c r="H20" t="s">
        <v>17</v>
      </c>
      <c r="J20" s="1">
        <v>45972</v>
      </c>
      <c r="K20" s="7">
        <v>1</v>
      </c>
      <c r="L20" s="7">
        <v>5</v>
      </c>
      <c r="M20" s="7">
        <v>5</v>
      </c>
      <c r="N20" s="7">
        <v>5</v>
      </c>
    </row>
    <row r="21" spans="1:14" x14ac:dyDescent="0.5">
      <c r="A21" t="s">
        <v>45</v>
      </c>
      <c r="B21" t="s">
        <v>21</v>
      </c>
      <c r="C21" t="s">
        <v>16</v>
      </c>
      <c r="D21" s="1">
        <v>45954</v>
      </c>
      <c r="E21" s="1">
        <v>45955</v>
      </c>
      <c r="F21" s="1">
        <v>45960</v>
      </c>
      <c r="G21" s="1">
        <v>45962</v>
      </c>
      <c r="H21" t="s">
        <v>17</v>
      </c>
      <c r="J21" s="1">
        <v>45972</v>
      </c>
      <c r="K21" s="7">
        <v>1</v>
      </c>
      <c r="L21" s="7">
        <v>5</v>
      </c>
      <c r="M21" s="7">
        <v>2</v>
      </c>
      <c r="N21" s="7">
        <v>4</v>
      </c>
    </row>
    <row r="22" spans="1:14" x14ac:dyDescent="0.5">
      <c r="A22" t="s">
        <v>46</v>
      </c>
      <c r="B22" t="s">
        <v>32</v>
      </c>
      <c r="C22" t="s">
        <v>16</v>
      </c>
      <c r="D22" s="1">
        <v>45947</v>
      </c>
      <c r="E22" s="1">
        <v>45951</v>
      </c>
      <c r="F22" s="1">
        <v>45953</v>
      </c>
      <c r="G22" s="1">
        <v>45960</v>
      </c>
      <c r="H22" t="s">
        <v>17</v>
      </c>
      <c r="J22" s="1">
        <v>45980</v>
      </c>
      <c r="K22" s="7">
        <v>4</v>
      </c>
      <c r="L22" s="7">
        <v>2</v>
      </c>
      <c r="M22" s="7">
        <v>7</v>
      </c>
      <c r="N22" s="7">
        <v>6</v>
      </c>
    </row>
    <row r="23" spans="1:14" x14ac:dyDescent="0.5">
      <c r="A23" t="s">
        <v>47</v>
      </c>
      <c r="B23" t="s">
        <v>15</v>
      </c>
      <c r="C23" t="s">
        <v>30</v>
      </c>
      <c r="D23" s="1">
        <v>45961</v>
      </c>
      <c r="E23" s="1">
        <v>45962</v>
      </c>
      <c r="F23" s="1">
        <v>45963</v>
      </c>
      <c r="G23" s="1">
        <v>45966</v>
      </c>
      <c r="H23" t="s">
        <v>17</v>
      </c>
      <c r="J23" s="1">
        <v>45995</v>
      </c>
      <c r="K23" s="7">
        <v>1</v>
      </c>
      <c r="L23" s="7">
        <v>1</v>
      </c>
      <c r="M23" s="7">
        <v>3</v>
      </c>
      <c r="N23" s="7">
        <v>3</v>
      </c>
    </row>
    <row r="24" spans="1:14" x14ac:dyDescent="0.5">
      <c r="A24" t="s">
        <v>48</v>
      </c>
      <c r="B24" t="s">
        <v>19</v>
      </c>
      <c r="C24" t="s">
        <v>16</v>
      </c>
      <c r="D24" s="1">
        <v>45951</v>
      </c>
      <c r="E24" s="1">
        <v>45954</v>
      </c>
      <c r="F24" s="1">
        <v>45959</v>
      </c>
      <c r="G24" s="1">
        <v>45962</v>
      </c>
      <c r="H24" t="s">
        <v>17</v>
      </c>
      <c r="J24" s="1">
        <v>45978</v>
      </c>
      <c r="K24" s="7">
        <v>3</v>
      </c>
      <c r="L24" s="7">
        <v>5</v>
      </c>
      <c r="M24" s="7">
        <v>3</v>
      </c>
      <c r="N24" s="7">
        <v>8</v>
      </c>
    </row>
    <row r="25" spans="1:14" x14ac:dyDescent="0.5">
      <c r="A25" t="s">
        <v>49</v>
      </c>
      <c r="B25" t="s">
        <v>15</v>
      </c>
      <c r="C25" t="s">
        <v>16</v>
      </c>
      <c r="D25" s="1">
        <v>45939</v>
      </c>
      <c r="E25" s="1">
        <v>45941</v>
      </c>
      <c r="F25" s="1">
        <v>45945</v>
      </c>
      <c r="G25" s="1">
        <v>45949</v>
      </c>
      <c r="H25" t="s">
        <v>17</v>
      </c>
      <c r="J25" s="1">
        <v>45963</v>
      </c>
      <c r="K25" s="7">
        <v>2</v>
      </c>
      <c r="L25" s="7">
        <v>4</v>
      </c>
      <c r="M25" s="7">
        <v>4</v>
      </c>
      <c r="N25" s="7">
        <v>3</v>
      </c>
    </row>
    <row r="26" spans="1:14" x14ac:dyDescent="0.5">
      <c r="A26" t="s">
        <v>50</v>
      </c>
      <c r="B26" t="s">
        <v>19</v>
      </c>
      <c r="C26" t="s">
        <v>16</v>
      </c>
      <c r="D26" s="1">
        <v>45950</v>
      </c>
      <c r="E26" s="1">
        <v>45955</v>
      </c>
      <c r="F26" s="1">
        <v>45957</v>
      </c>
      <c r="G26" s="1">
        <v>45964</v>
      </c>
      <c r="H26" t="s">
        <v>17</v>
      </c>
      <c r="J26" s="1">
        <v>45984</v>
      </c>
      <c r="K26" s="7">
        <v>5</v>
      </c>
      <c r="L26" s="7">
        <v>2</v>
      </c>
      <c r="M26" s="7">
        <v>7</v>
      </c>
      <c r="N26" s="7">
        <v>1</v>
      </c>
    </row>
    <row r="27" spans="1:14" x14ac:dyDescent="0.5">
      <c r="A27" t="s">
        <v>51</v>
      </c>
      <c r="B27" t="s">
        <v>32</v>
      </c>
      <c r="C27" t="s">
        <v>16</v>
      </c>
      <c r="D27" s="1">
        <v>45956</v>
      </c>
      <c r="E27" s="1">
        <v>45957</v>
      </c>
      <c r="F27" s="1">
        <v>45962</v>
      </c>
      <c r="G27" s="1">
        <v>45964</v>
      </c>
      <c r="H27" t="s">
        <v>17</v>
      </c>
      <c r="J27" s="1">
        <v>45979</v>
      </c>
      <c r="K27" s="7">
        <v>1</v>
      </c>
      <c r="L27" s="7">
        <v>5</v>
      </c>
      <c r="M27" s="7">
        <v>2</v>
      </c>
      <c r="N27" s="7">
        <v>4</v>
      </c>
    </row>
    <row r="28" spans="1:14" x14ac:dyDescent="0.5">
      <c r="A28" t="s">
        <v>52</v>
      </c>
      <c r="B28" t="s">
        <v>21</v>
      </c>
      <c r="C28" t="s">
        <v>16</v>
      </c>
      <c r="D28" s="1">
        <v>45960</v>
      </c>
      <c r="E28" s="1">
        <v>45965</v>
      </c>
      <c r="F28" s="1">
        <v>45970</v>
      </c>
      <c r="G28" s="1">
        <v>45976</v>
      </c>
      <c r="H28" t="s">
        <v>17</v>
      </c>
      <c r="J28" s="1">
        <v>45996</v>
      </c>
      <c r="K28" s="7">
        <v>5</v>
      </c>
      <c r="L28" s="7">
        <v>5</v>
      </c>
      <c r="M28" s="7">
        <v>6</v>
      </c>
      <c r="N28" s="7">
        <v>1</v>
      </c>
    </row>
    <row r="29" spans="1:14" x14ac:dyDescent="0.5">
      <c r="A29" t="s">
        <v>53</v>
      </c>
      <c r="B29" t="s">
        <v>15</v>
      </c>
      <c r="C29" t="s">
        <v>16</v>
      </c>
      <c r="D29" s="1">
        <v>45948</v>
      </c>
      <c r="E29" s="1">
        <v>45953</v>
      </c>
      <c r="F29" s="1">
        <v>45957</v>
      </c>
      <c r="G29" s="1">
        <v>45959</v>
      </c>
      <c r="H29" t="s">
        <v>17</v>
      </c>
      <c r="J29" s="1">
        <v>45970</v>
      </c>
      <c r="K29" s="7">
        <v>5</v>
      </c>
      <c r="L29" s="7">
        <v>4</v>
      </c>
      <c r="M29" s="7">
        <v>2</v>
      </c>
      <c r="N29" s="7">
        <v>3</v>
      </c>
    </row>
    <row r="30" spans="1:14" x14ac:dyDescent="0.5">
      <c r="A30" t="s">
        <v>54</v>
      </c>
      <c r="B30" t="s">
        <v>21</v>
      </c>
      <c r="C30" t="s">
        <v>16</v>
      </c>
      <c r="D30" s="1">
        <v>45955</v>
      </c>
      <c r="E30" s="1">
        <v>45960</v>
      </c>
      <c r="F30" s="1">
        <v>45962</v>
      </c>
      <c r="G30" s="1">
        <v>45968</v>
      </c>
      <c r="H30" t="s">
        <v>17</v>
      </c>
      <c r="J30" s="1">
        <v>45978</v>
      </c>
      <c r="K30" s="7">
        <v>5</v>
      </c>
      <c r="L30" s="7">
        <v>2</v>
      </c>
      <c r="M30" s="7">
        <v>6</v>
      </c>
      <c r="N30" s="7">
        <v>3</v>
      </c>
    </row>
    <row r="31" spans="1:14" ht="36" x14ac:dyDescent="0.5">
      <c r="A31" t="s">
        <v>55</v>
      </c>
      <c r="B31" t="s">
        <v>15</v>
      </c>
      <c r="C31" t="s">
        <v>22</v>
      </c>
      <c r="D31" s="1">
        <v>45946</v>
      </c>
      <c r="H31" t="s">
        <v>23</v>
      </c>
      <c r="I31" s="2" t="s">
        <v>33</v>
      </c>
    </row>
    <row r="32" spans="1:14" x14ac:dyDescent="0.5">
      <c r="A32" t="s">
        <v>56</v>
      </c>
      <c r="B32" t="s">
        <v>19</v>
      </c>
      <c r="C32" t="s">
        <v>16</v>
      </c>
      <c r="D32" s="1">
        <v>45945</v>
      </c>
      <c r="E32" s="1">
        <v>45948</v>
      </c>
      <c r="F32" s="1">
        <v>45950</v>
      </c>
      <c r="G32" s="1">
        <v>45953</v>
      </c>
      <c r="H32" t="s">
        <v>17</v>
      </c>
      <c r="J32" s="1">
        <v>45967</v>
      </c>
      <c r="K32" s="7">
        <v>3</v>
      </c>
      <c r="L32" s="7">
        <v>2</v>
      </c>
      <c r="M32" s="7">
        <v>3</v>
      </c>
      <c r="N32" s="7">
        <v>3</v>
      </c>
    </row>
    <row r="33" spans="1:14" x14ac:dyDescent="0.5">
      <c r="A33" t="s">
        <v>57</v>
      </c>
      <c r="B33" t="s">
        <v>21</v>
      </c>
      <c r="C33" t="s">
        <v>16</v>
      </c>
      <c r="D33" s="1">
        <v>45944</v>
      </c>
      <c r="E33" s="1">
        <v>45945</v>
      </c>
      <c r="F33" s="1">
        <v>45946</v>
      </c>
      <c r="G33" s="1">
        <v>45950</v>
      </c>
      <c r="H33" t="s">
        <v>17</v>
      </c>
      <c r="J33" s="1">
        <v>45978</v>
      </c>
      <c r="K33" s="7">
        <v>1</v>
      </c>
      <c r="L33" s="7">
        <v>1</v>
      </c>
      <c r="M33" s="7">
        <v>4</v>
      </c>
      <c r="N33" s="7">
        <v>5</v>
      </c>
    </row>
    <row r="34" spans="1:14" x14ac:dyDescent="0.5">
      <c r="A34" t="s">
        <v>58</v>
      </c>
      <c r="B34" t="s">
        <v>15</v>
      </c>
      <c r="C34" t="s">
        <v>16</v>
      </c>
      <c r="D34" s="1">
        <v>45957</v>
      </c>
      <c r="E34" s="1">
        <v>45961</v>
      </c>
      <c r="F34" s="1">
        <v>45966</v>
      </c>
      <c r="G34" s="1">
        <v>45970</v>
      </c>
      <c r="H34" t="s">
        <v>17</v>
      </c>
      <c r="J34" s="1">
        <v>45984</v>
      </c>
      <c r="K34" s="7">
        <v>4</v>
      </c>
      <c r="L34" s="7">
        <v>5</v>
      </c>
      <c r="M34" s="7">
        <v>4</v>
      </c>
      <c r="N34" s="7">
        <v>3</v>
      </c>
    </row>
    <row r="35" spans="1:14" x14ac:dyDescent="0.5">
      <c r="A35" t="s">
        <v>59</v>
      </c>
      <c r="B35" t="s">
        <v>19</v>
      </c>
      <c r="C35" t="s">
        <v>16</v>
      </c>
      <c r="D35" s="1">
        <v>45954</v>
      </c>
      <c r="E35" s="1">
        <v>45957</v>
      </c>
      <c r="F35" s="1">
        <v>45958</v>
      </c>
      <c r="G35" s="1">
        <v>45961</v>
      </c>
      <c r="H35" t="s">
        <v>17</v>
      </c>
      <c r="J35" s="1">
        <v>45974</v>
      </c>
      <c r="K35" s="7">
        <v>3</v>
      </c>
      <c r="L35" s="7">
        <v>1</v>
      </c>
      <c r="M35" s="7">
        <v>3</v>
      </c>
      <c r="N35" s="7">
        <v>3</v>
      </c>
    </row>
    <row r="36" spans="1:14" ht="36" x14ac:dyDescent="0.5">
      <c r="A36" t="s">
        <v>60</v>
      </c>
      <c r="B36" t="s">
        <v>21</v>
      </c>
      <c r="C36" t="s">
        <v>22</v>
      </c>
      <c r="D36" s="1">
        <v>45949</v>
      </c>
      <c r="H36" t="s">
        <v>23</v>
      </c>
      <c r="I36" s="2" t="s">
        <v>26</v>
      </c>
    </row>
    <row r="37" spans="1:14" x14ac:dyDescent="0.5">
      <c r="A37" t="s">
        <v>61</v>
      </c>
      <c r="B37" t="s">
        <v>21</v>
      </c>
      <c r="C37" t="s">
        <v>16</v>
      </c>
      <c r="D37" s="1">
        <v>45939</v>
      </c>
      <c r="E37" s="1">
        <v>45943</v>
      </c>
      <c r="F37" s="1">
        <v>45945</v>
      </c>
      <c r="G37" s="1">
        <v>45950</v>
      </c>
      <c r="H37" t="s">
        <v>17</v>
      </c>
      <c r="J37" s="1">
        <v>45976</v>
      </c>
      <c r="K37" s="7">
        <v>4</v>
      </c>
      <c r="L37" s="7">
        <v>2</v>
      </c>
      <c r="M37" s="7">
        <v>5</v>
      </c>
      <c r="N37" s="7">
        <v>9</v>
      </c>
    </row>
    <row r="38" spans="1:14" ht="36" x14ac:dyDescent="0.5">
      <c r="A38" t="s">
        <v>62</v>
      </c>
      <c r="B38" t="s">
        <v>15</v>
      </c>
      <c r="C38" t="s">
        <v>16</v>
      </c>
      <c r="D38" s="1">
        <v>45941</v>
      </c>
      <c r="E38" s="1">
        <v>45942</v>
      </c>
      <c r="F38" s="1">
        <v>45943</v>
      </c>
      <c r="G38" s="1">
        <v>45945</v>
      </c>
      <c r="H38" t="s">
        <v>23</v>
      </c>
      <c r="I38" s="2" t="s">
        <v>63</v>
      </c>
      <c r="K38" s="7">
        <v>1</v>
      </c>
      <c r="L38" s="7">
        <v>1</v>
      </c>
      <c r="M38" s="7">
        <v>2</v>
      </c>
    </row>
    <row r="39" spans="1:14" x14ac:dyDescent="0.5">
      <c r="A39" t="s">
        <v>64</v>
      </c>
      <c r="B39" t="s">
        <v>15</v>
      </c>
      <c r="C39" t="s">
        <v>16</v>
      </c>
      <c r="D39" s="1">
        <v>45958</v>
      </c>
      <c r="E39" s="1">
        <v>45961</v>
      </c>
      <c r="F39" s="1">
        <v>45965</v>
      </c>
      <c r="G39" s="1">
        <v>45969</v>
      </c>
      <c r="H39" t="s">
        <v>17</v>
      </c>
      <c r="J39" s="1">
        <v>45990</v>
      </c>
      <c r="K39" s="7">
        <v>3</v>
      </c>
      <c r="L39" s="7">
        <v>4</v>
      </c>
      <c r="M39" s="7">
        <v>4</v>
      </c>
      <c r="N39" s="7">
        <v>2</v>
      </c>
    </row>
    <row r="40" spans="1:14" x14ac:dyDescent="0.5">
      <c r="A40" t="s">
        <v>65</v>
      </c>
      <c r="B40" t="s">
        <v>15</v>
      </c>
      <c r="C40" t="s">
        <v>16</v>
      </c>
      <c r="D40" s="1">
        <v>45938</v>
      </c>
      <c r="E40" s="1">
        <v>45943</v>
      </c>
      <c r="F40" s="1">
        <v>45946</v>
      </c>
      <c r="G40" s="1">
        <v>45953</v>
      </c>
      <c r="H40" t="s">
        <v>17</v>
      </c>
      <c r="J40" s="1">
        <v>45965</v>
      </c>
      <c r="K40" s="7">
        <v>5</v>
      </c>
      <c r="L40" s="7">
        <v>3</v>
      </c>
      <c r="M40" s="7">
        <v>7</v>
      </c>
      <c r="N40" s="7">
        <v>9</v>
      </c>
    </row>
    <row r="41" spans="1:14" x14ac:dyDescent="0.5">
      <c r="A41" t="s">
        <v>66</v>
      </c>
      <c r="B41" t="s">
        <v>19</v>
      </c>
      <c r="C41" t="s">
        <v>16</v>
      </c>
      <c r="D41" s="1">
        <v>45957</v>
      </c>
      <c r="E41" s="1">
        <v>45960</v>
      </c>
      <c r="F41" s="1">
        <v>45964</v>
      </c>
      <c r="G41" s="1">
        <v>45969</v>
      </c>
      <c r="H41" t="s">
        <v>23</v>
      </c>
      <c r="I41" s="2" t="s">
        <v>24</v>
      </c>
      <c r="K41" s="7">
        <v>3</v>
      </c>
      <c r="L41" s="7">
        <v>4</v>
      </c>
      <c r="M41" s="7">
        <v>5</v>
      </c>
    </row>
    <row r="42" spans="1:14" ht="36" x14ac:dyDescent="0.5">
      <c r="A42" t="s">
        <v>67</v>
      </c>
      <c r="B42" t="s">
        <v>15</v>
      </c>
      <c r="C42" t="s">
        <v>22</v>
      </c>
      <c r="D42" s="1">
        <v>45960</v>
      </c>
      <c r="H42" t="s">
        <v>23</v>
      </c>
      <c r="I42" s="2" t="s">
        <v>26</v>
      </c>
    </row>
    <row r="43" spans="1:14" x14ac:dyDescent="0.5">
      <c r="A43" t="s">
        <v>68</v>
      </c>
      <c r="B43" t="s">
        <v>21</v>
      </c>
      <c r="C43" t="s">
        <v>16</v>
      </c>
      <c r="D43" s="1">
        <v>45933</v>
      </c>
      <c r="E43" s="1">
        <v>45936</v>
      </c>
      <c r="F43" s="1">
        <v>45938</v>
      </c>
      <c r="G43" s="1">
        <v>45944</v>
      </c>
      <c r="H43" t="s">
        <v>17</v>
      </c>
      <c r="J43" s="1">
        <v>45965</v>
      </c>
      <c r="K43" s="7">
        <v>3</v>
      </c>
      <c r="L43" s="7">
        <v>2</v>
      </c>
      <c r="M43" s="7">
        <v>6</v>
      </c>
      <c r="N43" s="7">
        <v>6</v>
      </c>
    </row>
    <row r="44" spans="1:14" x14ac:dyDescent="0.5">
      <c r="A44" t="s">
        <v>69</v>
      </c>
      <c r="B44" t="s">
        <v>21</v>
      </c>
      <c r="C44" t="s">
        <v>16</v>
      </c>
      <c r="D44" s="1">
        <v>45939</v>
      </c>
      <c r="E44" s="1">
        <v>45940</v>
      </c>
      <c r="F44" s="1">
        <v>45944</v>
      </c>
      <c r="G44" s="1">
        <v>45951</v>
      </c>
      <c r="H44" t="s">
        <v>17</v>
      </c>
      <c r="J44" s="1">
        <v>45973</v>
      </c>
      <c r="K44" s="7">
        <v>1</v>
      </c>
      <c r="L44" s="7">
        <v>4</v>
      </c>
      <c r="M44" s="7">
        <v>7</v>
      </c>
      <c r="N44" s="7">
        <v>7</v>
      </c>
    </row>
    <row r="45" spans="1:14" ht="36" x14ac:dyDescent="0.5">
      <c r="A45" t="s">
        <v>70</v>
      </c>
      <c r="B45" t="s">
        <v>15</v>
      </c>
      <c r="C45" t="s">
        <v>22</v>
      </c>
      <c r="D45" s="1">
        <v>45959</v>
      </c>
      <c r="H45" t="s">
        <v>23</v>
      </c>
      <c r="I45" s="2" t="s">
        <v>33</v>
      </c>
    </row>
    <row r="46" spans="1:14" x14ac:dyDescent="0.5">
      <c r="A46" t="s">
        <v>71</v>
      </c>
      <c r="B46" t="s">
        <v>15</v>
      </c>
      <c r="C46" t="s">
        <v>30</v>
      </c>
      <c r="D46" s="1">
        <v>45945</v>
      </c>
      <c r="E46" s="1">
        <v>45950</v>
      </c>
      <c r="F46" s="1">
        <v>45952</v>
      </c>
      <c r="G46" s="1">
        <v>45956</v>
      </c>
      <c r="H46" t="s">
        <v>17</v>
      </c>
      <c r="J46" s="1">
        <v>45984</v>
      </c>
      <c r="K46" s="7">
        <v>5</v>
      </c>
      <c r="L46" s="7">
        <v>2</v>
      </c>
      <c r="M46" s="7">
        <v>4</v>
      </c>
      <c r="N46" s="7">
        <v>8</v>
      </c>
    </row>
    <row r="47" spans="1:14" x14ac:dyDescent="0.5">
      <c r="A47" t="s">
        <v>72</v>
      </c>
      <c r="B47" t="s">
        <v>32</v>
      </c>
      <c r="C47" t="s">
        <v>30</v>
      </c>
      <c r="D47" s="1">
        <v>45938</v>
      </c>
      <c r="E47" s="1">
        <v>45943</v>
      </c>
      <c r="F47" s="1">
        <v>45947</v>
      </c>
      <c r="G47" s="1">
        <v>45953</v>
      </c>
      <c r="H47" t="s">
        <v>17</v>
      </c>
      <c r="J47" s="1">
        <v>45966</v>
      </c>
      <c r="K47" s="7">
        <v>5</v>
      </c>
      <c r="L47" s="7">
        <v>4</v>
      </c>
      <c r="M47" s="7">
        <v>6</v>
      </c>
      <c r="N47" s="7">
        <v>3</v>
      </c>
    </row>
    <row r="48" spans="1:14" x14ac:dyDescent="0.5">
      <c r="A48" t="s">
        <v>73</v>
      </c>
      <c r="B48" t="s">
        <v>21</v>
      </c>
      <c r="C48" t="s">
        <v>16</v>
      </c>
      <c r="D48" s="1">
        <v>45955</v>
      </c>
      <c r="E48" s="1">
        <v>45957</v>
      </c>
      <c r="F48" s="1">
        <v>45962</v>
      </c>
      <c r="G48" s="1">
        <v>45967</v>
      </c>
      <c r="H48" t="s">
        <v>17</v>
      </c>
      <c r="J48" s="1">
        <v>45987</v>
      </c>
      <c r="K48" s="7">
        <v>2</v>
      </c>
      <c r="L48" s="7">
        <v>5</v>
      </c>
      <c r="M48" s="7">
        <v>5</v>
      </c>
      <c r="N48" s="7">
        <v>5</v>
      </c>
    </row>
    <row r="49" spans="1:14" ht="36" x14ac:dyDescent="0.5">
      <c r="A49" t="s">
        <v>74</v>
      </c>
      <c r="B49" t="s">
        <v>19</v>
      </c>
      <c r="C49" t="s">
        <v>22</v>
      </c>
      <c r="D49" s="1">
        <v>45945</v>
      </c>
      <c r="H49" t="s">
        <v>23</v>
      </c>
      <c r="I49" s="2" t="s">
        <v>26</v>
      </c>
    </row>
    <row r="50" spans="1:14" x14ac:dyDescent="0.5">
      <c r="A50" t="s">
        <v>75</v>
      </c>
      <c r="B50" t="s">
        <v>32</v>
      </c>
      <c r="C50" t="s">
        <v>30</v>
      </c>
      <c r="D50" s="1">
        <v>45949</v>
      </c>
      <c r="E50" s="1">
        <v>45951</v>
      </c>
      <c r="F50" s="1">
        <v>45956</v>
      </c>
      <c r="G50" s="1">
        <v>45962</v>
      </c>
      <c r="H50" t="s">
        <v>17</v>
      </c>
      <c r="J50" s="1">
        <v>45981</v>
      </c>
      <c r="K50" s="7">
        <v>2</v>
      </c>
      <c r="L50" s="7">
        <v>5</v>
      </c>
      <c r="M50" s="7">
        <v>6</v>
      </c>
      <c r="N50" s="7">
        <v>0</v>
      </c>
    </row>
    <row r="51" spans="1:14" x14ac:dyDescent="0.5">
      <c r="A51" t="s">
        <v>76</v>
      </c>
      <c r="B51" t="s">
        <v>15</v>
      </c>
      <c r="C51" t="s">
        <v>30</v>
      </c>
      <c r="D51" s="1">
        <v>45950</v>
      </c>
      <c r="E51" s="1">
        <v>45954</v>
      </c>
      <c r="F51" s="1">
        <v>45958</v>
      </c>
      <c r="G51" s="1">
        <v>45963</v>
      </c>
      <c r="H51" t="s">
        <v>17</v>
      </c>
      <c r="J51" s="1">
        <v>45983</v>
      </c>
      <c r="K51" s="7">
        <v>4</v>
      </c>
      <c r="L51" s="7">
        <v>4</v>
      </c>
      <c r="M51" s="7">
        <v>5</v>
      </c>
      <c r="N51" s="7">
        <v>6</v>
      </c>
    </row>
    <row r="52" spans="1:14" x14ac:dyDescent="0.5">
      <c r="A52" t="s">
        <v>77</v>
      </c>
      <c r="B52" t="s">
        <v>15</v>
      </c>
      <c r="C52" t="s">
        <v>30</v>
      </c>
      <c r="D52" s="1">
        <v>45952</v>
      </c>
      <c r="E52" s="1">
        <v>45954</v>
      </c>
      <c r="F52" s="1">
        <v>45955</v>
      </c>
      <c r="G52" s="1">
        <v>45961</v>
      </c>
      <c r="H52" t="s">
        <v>17</v>
      </c>
      <c r="J52" s="1">
        <v>45975</v>
      </c>
      <c r="K52" s="7">
        <v>2</v>
      </c>
      <c r="L52" s="7">
        <v>1</v>
      </c>
      <c r="M52" s="7">
        <v>6</v>
      </c>
      <c r="N52" s="7">
        <v>6</v>
      </c>
    </row>
    <row r="53" spans="1:14" x14ac:dyDescent="0.5">
      <c r="A53" t="s">
        <v>78</v>
      </c>
      <c r="B53" t="s">
        <v>21</v>
      </c>
      <c r="C53" t="s">
        <v>30</v>
      </c>
      <c r="D53" s="1">
        <v>45943</v>
      </c>
      <c r="E53" s="1">
        <v>45944</v>
      </c>
      <c r="F53" s="1">
        <v>45946</v>
      </c>
      <c r="G53" s="1">
        <v>45948</v>
      </c>
      <c r="H53" t="s">
        <v>17</v>
      </c>
      <c r="J53" s="1">
        <v>45963</v>
      </c>
      <c r="K53" s="7">
        <v>1</v>
      </c>
      <c r="L53" s="7">
        <v>2</v>
      </c>
      <c r="M53" s="7">
        <v>2</v>
      </c>
      <c r="N53" s="7">
        <v>6</v>
      </c>
    </row>
    <row r="54" spans="1:14" x14ac:dyDescent="0.5">
      <c r="A54" t="s">
        <v>79</v>
      </c>
      <c r="B54" t="s">
        <v>15</v>
      </c>
      <c r="C54" t="s">
        <v>30</v>
      </c>
      <c r="D54" s="1">
        <v>45941</v>
      </c>
      <c r="E54" s="1">
        <v>45944</v>
      </c>
      <c r="F54" s="1">
        <v>45949</v>
      </c>
      <c r="G54" s="1">
        <v>45953</v>
      </c>
      <c r="H54" t="s">
        <v>17</v>
      </c>
      <c r="J54" s="1">
        <v>45976</v>
      </c>
      <c r="K54" s="7">
        <v>3</v>
      </c>
      <c r="L54" s="7">
        <v>5</v>
      </c>
      <c r="M54" s="7">
        <v>4</v>
      </c>
      <c r="N54" s="7">
        <v>4</v>
      </c>
    </row>
    <row r="55" spans="1:14" x14ac:dyDescent="0.5">
      <c r="A55" t="s">
        <v>80</v>
      </c>
      <c r="B55" t="s">
        <v>19</v>
      </c>
      <c r="C55" t="s">
        <v>16</v>
      </c>
      <c r="D55" s="1">
        <v>45931</v>
      </c>
      <c r="E55" s="1">
        <v>45936</v>
      </c>
      <c r="F55" s="1">
        <v>45938</v>
      </c>
      <c r="G55" s="1">
        <v>45942</v>
      </c>
      <c r="H55" t="s">
        <v>17</v>
      </c>
      <c r="J55" s="1">
        <v>45972</v>
      </c>
      <c r="K55" s="7">
        <v>5</v>
      </c>
      <c r="L55" s="7">
        <v>2</v>
      </c>
      <c r="M55" s="7">
        <v>4</v>
      </c>
      <c r="N55" s="7">
        <v>4</v>
      </c>
    </row>
    <row r="56" spans="1:14" x14ac:dyDescent="0.5">
      <c r="A56" t="s">
        <v>81</v>
      </c>
      <c r="B56" t="s">
        <v>21</v>
      </c>
      <c r="C56" t="s">
        <v>16</v>
      </c>
      <c r="D56" s="1">
        <v>45946</v>
      </c>
      <c r="E56" s="1">
        <v>45949</v>
      </c>
      <c r="F56" s="1">
        <v>45954</v>
      </c>
      <c r="G56" s="1">
        <v>45959</v>
      </c>
      <c r="H56" t="s">
        <v>17</v>
      </c>
      <c r="J56" s="1">
        <v>45984</v>
      </c>
      <c r="K56" s="7">
        <v>3</v>
      </c>
      <c r="L56" s="7">
        <v>5</v>
      </c>
      <c r="M56" s="7">
        <v>5</v>
      </c>
      <c r="N56" s="7">
        <v>8</v>
      </c>
    </row>
    <row r="57" spans="1:14" x14ac:dyDescent="0.5">
      <c r="A57" t="s">
        <v>82</v>
      </c>
      <c r="B57" t="s">
        <v>15</v>
      </c>
      <c r="C57" t="s">
        <v>30</v>
      </c>
      <c r="D57" s="1">
        <v>45958</v>
      </c>
      <c r="E57" s="1">
        <v>45959</v>
      </c>
      <c r="F57" s="1">
        <v>45962</v>
      </c>
      <c r="G57" s="1">
        <v>45968</v>
      </c>
      <c r="H57" t="s">
        <v>17</v>
      </c>
      <c r="J57" s="1">
        <v>45998</v>
      </c>
      <c r="K57" s="7">
        <v>1</v>
      </c>
      <c r="L57" s="7">
        <v>3</v>
      </c>
      <c r="M57" s="7">
        <v>6</v>
      </c>
      <c r="N57" s="7">
        <v>3</v>
      </c>
    </row>
    <row r="58" spans="1:14" x14ac:dyDescent="0.5">
      <c r="A58" t="s">
        <v>83</v>
      </c>
      <c r="B58" t="s">
        <v>21</v>
      </c>
      <c r="C58" t="s">
        <v>16</v>
      </c>
      <c r="D58" s="1">
        <v>45941</v>
      </c>
      <c r="E58" s="1">
        <v>45944</v>
      </c>
      <c r="F58" s="1">
        <v>45948</v>
      </c>
      <c r="G58" s="1">
        <v>45951</v>
      </c>
      <c r="H58" t="s">
        <v>17</v>
      </c>
      <c r="J58" s="1">
        <v>45971</v>
      </c>
      <c r="K58" s="7">
        <v>3</v>
      </c>
      <c r="L58" s="7">
        <v>4</v>
      </c>
      <c r="M58" s="7">
        <v>3</v>
      </c>
      <c r="N58" s="7">
        <v>6</v>
      </c>
    </row>
    <row r="59" spans="1:14" x14ac:dyDescent="0.5">
      <c r="A59" t="s">
        <v>84</v>
      </c>
      <c r="B59" t="s">
        <v>15</v>
      </c>
      <c r="C59" t="s">
        <v>30</v>
      </c>
      <c r="D59" s="1">
        <v>45936</v>
      </c>
      <c r="E59" s="1">
        <v>45941</v>
      </c>
      <c r="F59" s="1">
        <v>45946</v>
      </c>
      <c r="G59" s="1">
        <v>45953</v>
      </c>
      <c r="H59" t="s">
        <v>17</v>
      </c>
      <c r="J59" s="1">
        <v>45968</v>
      </c>
      <c r="K59" s="7">
        <v>5</v>
      </c>
      <c r="L59" s="7">
        <v>5</v>
      </c>
      <c r="M59" s="7">
        <v>7</v>
      </c>
      <c r="N59" s="7">
        <v>1</v>
      </c>
    </row>
    <row r="60" spans="1:14" ht="36" x14ac:dyDescent="0.5">
      <c r="A60" t="s">
        <v>85</v>
      </c>
      <c r="B60" t="s">
        <v>15</v>
      </c>
      <c r="C60" t="s">
        <v>16</v>
      </c>
      <c r="D60" s="1">
        <v>45946</v>
      </c>
      <c r="E60" s="1">
        <v>45948</v>
      </c>
      <c r="F60" s="1">
        <v>45952</v>
      </c>
      <c r="G60" s="1">
        <v>45959</v>
      </c>
      <c r="H60" t="s">
        <v>23</v>
      </c>
      <c r="I60" s="2" t="s">
        <v>63</v>
      </c>
      <c r="K60" s="7">
        <v>2</v>
      </c>
      <c r="L60" s="7">
        <v>4</v>
      </c>
      <c r="M60" s="7">
        <v>7</v>
      </c>
    </row>
    <row r="61" spans="1:14" x14ac:dyDescent="0.5">
      <c r="A61" t="s">
        <v>86</v>
      </c>
      <c r="B61" t="s">
        <v>15</v>
      </c>
      <c r="C61" t="s">
        <v>16</v>
      </c>
      <c r="D61" s="1">
        <v>45937</v>
      </c>
      <c r="E61" s="1">
        <v>45941</v>
      </c>
      <c r="F61" s="1">
        <v>45944</v>
      </c>
      <c r="G61" s="1">
        <v>45948</v>
      </c>
      <c r="H61" t="s">
        <v>17</v>
      </c>
      <c r="J61" s="1">
        <v>45975</v>
      </c>
      <c r="K61" s="7">
        <v>4</v>
      </c>
      <c r="L61" s="7">
        <v>3</v>
      </c>
      <c r="M61" s="7">
        <v>4</v>
      </c>
      <c r="N61" s="7">
        <v>2</v>
      </c>
    </row>
    <row r="62" spans="1:14" x14ac:dyDescent="0.5">
      <c r="A62" t="s">
        <v>87</v>
      </c>
      <c r="B62" t="s">
        <v>19</v>
      </c>
      <c r="C62" t="s">
        <v>16</v>
      </c>
      <c r="D62" s="1">
        <v>45942</v>
      </c>
      <c r="E62" s="1">
        <v>45947</v>
      </c>
      <c r="F62" s="1">
        <v>45949</v>
      </c>
      <c r="G62" s="1">
        <v>45955</v>
      </c>
      <c r="H62" t="s">
        <v>17</v>
      </c>
      <c r="J62" s="1">
        <v>45984</v>
      </c>
      <c r="K62" s="7">
        <v>5</v>
      </c>
      <c r="L62" s="7">
        <v>2</v>
      </c>
      <c r="M62" s="7">
        <v>6</v>
      </c>
      <c r="N62" s="7">
        <v>7</v>
      </c>
    </row>
    <row r="63" spans="1:14" x14ac:dyDescent="0.5">
      <c r="A63" t="s">
        <v>88</v>
      </c>
      <c r="B63" t="s">
        <v>19</v>
      </c>
      <c r="C63" t="s">
        <v>30</v>
      </c>
      <c r="D63" s="1">
        <v>45956</v>
      </c>
      <c r="E63" s="1">
        <v>45961</v>
      </c>
      <c r="F63" s="1">
        <v>45965</v>
      </c>
      <c r="G63" s="1">
        <v>45971</v>
      </c>
      <c r="H63" t="s">
        <v>17</v>
      </c>
      <c r="J63" s="1">
        <v>45992</v>
      </c>
      <c r="K63" s="7">
        <v>5</v>
      </c>
      <c r="L63" s="7">
        <v>4</v>
      </c>
      <c r="M63" s="7">
        <v>6</v>
      </c>
      <c r="N63" s="7">
        <v>9</v>
      </c>
    </row>
    <row r="64" spans="1:14" x14ac:dyDescent="0.5">
      <c r="A64" t="s">
        <v>89</v>
      </c>
      <c r="B64" t="s">
        <v>21</v>
      </c>
      <c r="C64" t="s">
        <v>16</v>
      </c>
      <c r="D64" s="1">
        <v>45939</v>
      </c>
      <c r="E64" s="1">
        <v>45944</v>
      </c>
      <c r="F64" s="1">
        <v>45949</v>
      </c>
      <c r="G64" s="1">
        <v>45951</v>
      </c>
      <c r="H64" t="s">
        <v>17</v>
      </c>
      <c r="J64" s="1">
        <v>45968</v>
      </c>
      <c r="K64" s="7">
        <v>5</v>
      </c>
      <c r="L64" s="7">
        <v>5</v>
      </c>
      <c r="M64" s="7">
        <v>2</v>
      </c>
      <c r="N64" s="7">
        <v>3</v>
      </c>
    </row>
    <row r="65" spans="1:14" x14ac:dyDescent="0.5">
      <c r="A65" t="s">
        <v>90</v>
      </c>
      <c r="B65" t="s">
        <v>15</v>
      </c>
      <c r="C65" t="s">
        <v>30</v>
      </c>
      <c r="D65" s="1">
        <v>45941</v>
      </c>
      <c r="E65" s="1">
        <v>45946</v>
      </c>
      <c r="F65" s="1">
        <v>45949</v>
      </c>
      <c r="G65" s="1">
        <v>45956</v>
      </c>
      <c r="H65" t="s">
        <v>17</v>
      </c>
      <c r="J65" s="1">
        <v>45984</v>
      </c>
      <c r="K65" s="7">
        <v>5</v>
      </c>
      <c r="L65" s="7">
        <v>3</v>
      </c>
      <c r="M65" s="7">
        <v>7</v>
      </c>
      <c r="N65" s="7">
        <v>3</v>
      </c>
    </row>
    <row r="66" spans="1:14" x14ac:dyDescent="0.5">
      <c r="A66" t="s">
        <v>91</v>
      </c>
      <c r="B66" t="s">
        <v>15</v>
      </c>
      <c r="C66" t="s">
        <v>22</v>
      </c>
      <c r="D66" s="1">
        <v>45939</v>
      </c>
      <c r="H66" t="s">
        <v>23</v>
      </c>
      <c r="I66" s="2" t="s">
        <v>24</v>
      </c>
    </row>
    <row r="67" spans="1:14" x14ac:dyDescent="0.5">
      <c r="A67" t="s">
        <v>92</v>
      </c>
      <c r="B67" t="s">
        <v>19</v>
      </c>
      <c r="C67" t="s">
        <v>16</v>
      </c>
      <c r="D67" s="1">
        <v>45959</v>
      </c>
      <c r="E67" s="1">
        <v>45960</v>
      </c>
      <c r="F67" s="1">
        <v>45965</v>
      </c>
      <c r="G67" s="1">
        <v>45968</v>
      </c>
      <c r="H67" t="s">
        <v>17</v>
      </c>
      <c r="J67" s="1">
        <v>45983</v>
      </c>
      <c r="K67" s="7">
        <v>1</v>
      </c>
      <c r="L67" s="7">
        <v>5</v>
      </c>
      <c r="M67" s="7">
        <v>3</v>
      </c>
      <c r="N67" s="7">
        <v>10</v>
      </c>
    </row>
    <row r="68" spans="1:14" x14ac:dyDescent="0.5">
      <c r="A68" t="s">
        <v>93</v>
      </c>
      <c r="B68" t="s">
        <v>15</v>
      </c>
      <c r="C68" t="s">
        <v>16</v>
      </c>
      <c r="D68" s="1">
        <v>45950</v>
      </c>
      <c r="E68" s="1">
        <v>45955</v>
      </c>
      <c r="F68" s="1">
        <v>45958</v>
      </c>
      <c r="G68" s="1">
        <v>45962</v>
      </c>
      <c r="H68" t="s">
        <v>17</v>
      </c>
      <c r="J68" s="1">
        <v>45984</v>
      </c>
      <c r="K68" s="7">
        <v>5</v>
      </c>
      <c r="L68" s="7">
        <v>3</v>
      </c>
      <c r="M68" s="7">
        <v>4</v>
      </c>
      <c r="N68" s="7">
        <v>4</v>
      </c>
    </row>
    <row r="69" spans="1:14" x14ac:dyDescent="0.5">
      <c r="A69" t="s">
        <v>94</v>
      </c>
      <c r="B69" t="s">
        <v>19</v>
      </c>
      <c r="C69" t="s">
        <v>30</v>
      </c>
      <c r="D69" s="1">
        <v>45953</v>
      </c>
      <c r="E69" s="1">
        <v>45956</v>
      </c>
      <c r="F69" s="1">
        <v>45959</v>
      </c>
      <c r="G69" s="1">
        <v>45961</v>
      </c>
      <c r="H69" t="s">
        <v>17</v>
      </c>
      <c r="J69" s="1">
        <v>45980</v>
      </c>
      <c r="K69" s="7">
        <v>3</v>
      </c>
      <c r="L69" s="7">
        <v>3</v>
      </c>
      <c r="M69" s="7">
        <v>2</v>
      </c>
      <c r="N69" s="7">
        <v>5</v>
      </c>
    </row>
    <row r="70" spans="1:14" ht="36" x14ac:dyDescent="0.5">
      <c r="A70" t="s">
        <v>95</v>
      </c>
      <c r="B70" t="s">
        <v>15</v>
      </c>
      <c r="C70" t="s">
        <v>22</v>
      </c>
      <c r="D70" s="1">
        <v>45959</v>
      </c>
      <c r="H70" t="s">
        <v>23</v>
      </c>
      <c r="I70" s="2" t="s">
        <v>63</v>
      </c>
    </row>
    <row r="71" spans="1:14" x14ac:dyDescent="0.5">
      <c r="A71" t="s">
        <v>96</v>
      </c>
      <c r="B71" t="s">
        <v>21</v>
      </c>
      <c r="C71" t="s">
        <v>30</v>
      </c>
      <c r="D71" s="1">
        <v>45939</v>
      </c>
      <c r="E71" s="1">
        <v>45940</v>
      </c>
      <c r="F71" s="1">
        <v>45945</v>
      </c>
      <c r="G71" s="1">
        <v>45948</v>
      </c>
      <c r="H71" t="s">
        <v>17</v>
      </c>
      <c r="J71" s="1">
        <v>45967</v>
      </c>
      <c r="K71" s="7">
        <v>1</v>
      </c>
      <c r="L71" s="7">
        <v>5</v>
      </c>
      <c r="M71" s="7">
        <v>3</v>
      </c>
      <c r="N71" s="7">
        <v>1</v>
      </c>
    </row>
    <row r="72" spans="1:14" x14ac:dyDescent="0.5">
      <c r="A72" t="s">
        <v>97</v>
      </c>
      <c r="B72" t="s">
        <v>15</v>
      </c>
      <c r="C72" t="s">
        <v>30</v>
      </c>
      <c r="D72" s="1">
        <v>45948</v>
      </c>
      <c r="E72" s="1">
        <v>45950</v>
      </c>
      <c r="F72" s="1">
        <v>45954</v>
      </c>
      <c r="G72" s="1">
        <v>45958</v>
      </c>
      <c r="H72" t="s">
        <v>17</v>
      </c>
      <c r="J72" s="1">
        <v>45972</v>
      </c>
      <c r="K72" s="7">
        <v>2</v>
      </c>
      <c r="L72" s="7">
        <v>4</v>
      </c>
      <c r="M72" s="7">
        <v>4</v>
      </c>
      <c r="N72" s="7">
        <v>10</v>
      </c>
    </row>
    <row r="73" spans="1:14" x14ac:dyDescent="0.5">
      <c r="A73" t="s">
        <v>98</v>
      </c>
      <c r="B73" t="s">
        <v>15</v>
      </c>
      <c r="C73" t="s">
        <v>16</v>
      </c>
      <c r="D73" s="1">
        <v>45931</v>
      </c>
      <c r="E73" s="1">
        <v>45934</v>
      </c>
      <c r="F73" s="1">
        <v>45936</v>
      </c>
      <c r="G73" s="1">
        <v>45938</v>
      </c>
      <c r="H73" t="s">
        <v>17</v>
      </c>
      <c r="J73" s="1">
        <v>45953</v>
      </c>
      <c r="K73" s="7">
        <v>3</v>
      </c>
      <c r="L73" s="7">
        <v>2</v>
      </c>
      <c r="M73" s="7">
        <v>2</v>
      </c>
      <c r="N73" s="7">
        <v>7</v>
      </c>
    </row>
    <row r="74" spans="1:14" x14ac:dyDescent="0.5">
      <c r="A74" t="s">
        <v>99</v>
      </c>
      <c r="B74" t="s">
        <v>32</v>
      </c>
      <c r="C74" t="s">
        <v>30</v>
      </c>
      <c r="D74" s="1">
        <v>45947</v>
      </c>
      <c r="E74" s="1">
        <v>45950</v>
      </c>
      <c r="F74" s="1">
        <v>45952</v>
      </c>
      <c r="G74" s="1">
        <v>45955</v>
      </c>
      <c r="H74" t="s">
        <v>17</v>
      </c>
      <c r="J74" s="1">
        <v>45965</v>
      </c>
      <c r="K74" s="7">
        <v>3</v>
      </c>
      <c r="L74" s="7">
        <v>2</v>
      </c>
      <c r="M74" s="7">
        <v>3</v>
      </c>
      <c r="N74" s="7">
        <v>6</v>
      </c>
    </row>
    <row r="75" spans="1:14" x14ac:dyDescent="0.5">
      <c r="A75" t="s">
        <v>100</v>
      </c>
      <c r="B75" t="s">
        <v>19</v>
      </c>
      <c r="C75" t="s">
        <v>22</v>
      </c>
      <c r="D75" s="1">
        <v>45961</v>
      </c>
      <c r="H75" t="s">
        <v>23</v>
      </c>
      <c r="I75" s="2" t="s">
        <v>101</v>
      </c>
    </row>
    <row r="76" spans="1:14" x14ac:dyDescent="0.5">
      <c r="A76" t="s">
        <v>102</v>
      </c>
      <c r="B76" t="s">
        <v>15</v>
      </c>
      <c r="C76" t="s">
        <v>16</v>
      </c>
      <c r="D76" s="1">
        <v>45937</v>
      </c>
      <c r="E76" s="1">
        <v>45940</v>
      </c>
      <c r="F76" s="1">
        <v>45943</v>
      </c>
      <c r="G76" s="1">
        <v>45947</v>
      </c>
      <c r="H76" t="s">
        <v>17</v>
      </c>
      <c r="J76" s="1">
        <v>45975</v>
      </c>
      <c r="K76" s="7">
        <v>3</v>
      </c>
      <c r="L76" s="7">
        <v>3</v>
      </c>
      <c r="M76" s="7">
        <v>4</v>
      </c>
      <c r="N76" s="7">
        <v>0</v>
      </c>
    </row>
    <row r="77" spans="1:14" x14ac:dyDescent="0.5">
      <c r="A77" t="s">
        <v>103</v>
      </c>
      <c r="B77" t="s">
        <v>15</v>
      </c>
      <c r="C77" t="s">
        <v>30</v>
      </c>
      <c r="D77" s="1">
        <v>45933</v>
      </c>
      <c r="E77" s="1">
        <v>45936</v>
      </c>
      <c r="F77" s="1">
        <v>45941</v>
      </c>
      <c r="G77" s="1">
        <v>45948</v>
      </c>
      <c r="H77" t="s">
        <v>17</v>
      </c>
      <c r="J77" s="1">
        <v>45970</v>
      </c>
      <c r="K77" s="7">
        <v>3</v>
      </c>
      <c r="L77" s="7">
        <v>5</v>
      </c>
      <c r="M77" s="7">
        <v>7</v>
      </c>
      <c r="N77" s="7">
        <v>1</v>
      </c>
    </row>
    <row r="78" spans="1:14" x14ac:dyDescent="0.5">
      <c r="A78" t="s">
        <v>104</v>
      </c>
      <c r="B78" t="s">
        <v>32</v>
      </c>
      <c r="C78" t="s">
        <v>16</v>
      </c>
      <c r="D78" s="1">
        <v>45938</v>
      </c>
      <c r="E78" s="1">
        <v>45939</v>
      </c>
      <c r="F78" s="1">
        <v>45942</v>
      </c>
      <c r="G78" s="1">
        <v>45945</v>
      </c>
      <c r="H78" t="s">
        <v>17</v>
      </c>
      <c r="J78" s="1">
        <v>45973</v>
      </c>
      <c r="K78" s="7">
        <v>1</v>
      </c>
      <c r="L78" s="7">
        <v>3</v>
      </c>
      <c r="M78" s="7">
        <v>3</v>
      </c>
      <c r="N78" s="7">
        <v>8</v>
      </c>
    </row>
    <row r="79" spans="1:14" x14ac:dyDescent="0.5">
      <c r="A79" t="s">
        <v>105</v>
      </c>
      <c r="B79" t="s">
        <v>32</v>
      </c>
      <c r="C79" t="s">
        <v>22</v>
      </c>
      <c r="D79" s="1">
        <v>45954</v>
      </c>
      <c r="H79" t="s">
        <v>23</v>
      </c>
      <c r="I79" s="2" t="s">
        <v>24</v>
      </c>
    </row>
    <row r="80" spans="1:14" ht="36" x14ac:dyDescent="0.5">
      <c r="A80" t="s">
        <v>106</v>
      </c>
      <c r="B80" t="s">
        <v>19</v>
      </c>
      <c r="C80" t="s">
        <v>22</v>
      </c>
      <c r="D80" s="1">
        <v>45944</v>
      </c>
      <c r="H80" t="s">
        <v>23</v>
      </c>
      <c r="I80" s="2" t="s">
        <v>63</v>
      </c>
    </row>
    <row r="81" spans="1:14" ht="36" x14ac:dyDescent="0.5">
      <c r="A81" t="s">
        <v>107</v>
      </c>
      <c r="B81" t="s">
        <v>32</v>
      </c>
      <c r="C81" t="s">
        <v>16</v>
      </c>
      <c r="D81" s="1">
        <v>45946</v>
      </c>
      <c r="E81" s="1">
        <v>45948</v>
      </c>
      <c r="F81" s="1">
        <v>45950</v>
      </c>
      <c r="G81" s="1">
        <v>45956</v>
      </c>
      <c r="H81" t="s">
        <v>23</v>
      </c>
      <c r="I81" s="2" t="s">
        <v>33</v>
      </c>
      <c r="K81" s="7">
        <v>2</v>
      </c>
      <c r="L81" s="7">
        <v>2</v>
      </c>
      <c r="M81" s="7">
        <v>6</v>
      </c>
    </row>
    <row r="82" spans="1:14" x14ac:dyDescent="0.5">
      <c r="A82" t="s">
        <v>108</v>
      </c>
      <c r="B82" t="s">
        <v>21</v>
      </c>
      <c r="C82" t="s">
        <v>22</v>
      </c>
      <c r="D82" s="1">
        <v>45948</v>
      </c>
      <c r="H82" t="s">
        <v>23</v>
      </c>
      <c r="I82" s="2" t="s">
        <v>24</v>
      </c>
    </row>
    <row r="83" spans="1:14" x14ac:dyDescent="0.5">
      <c r="A83" t="s">
        <v>109</v>
      </c>
      <c r="B83" t="s">
        <v>32</v>
      </c>
      <c r="C83" t="s">
        <v>22</v>
      </c>
      <c r="D83" s="1">
        <v>45955</v>
      </c>
      <c r="H83" t="s">
        <v>23</v>
      </c>
      <c r="I83" s="2" t="s">
        <v>24</v>
      </c>
    </row>
    <row r="84" spans="1:14" x14ac:dyDescent="0.5">
      <c r="A84" t="s">
        <v>110</v>
      </c>
      <c r="B84" t="s">
        <v>21</v>
      </c>
      <c r="C84" t="s">
        <v>16</v>
      </c>
      <c r="D84" s="1">
        <v>45938</v>
      </c>
      <c r="E84" s="1">
        <v>45940</v>
      </c>
      <c r="F84" s="1">
        <v>45943</v>
      </c>
      <c r="G84" s="1">
        <v>45948</v>
      </c>
      <c r="H84" t="s">
        <v>17</v>
      </c>
      <c r="J84" s="1">
        <v>45959</v>
      </c>
      <c r="K84" s="7">
        <v>2</v>
      </c>
      <c r="L84" s="7">
        <v>3</v>
      </c>
      <c r="M84" s="7">
        <v>5</v>
      </c>
      <c r="N84" s="7">
        <v>5</v>
      </c>
    </row>
    <row r="85" spans="1:14" x14ac:dyDescent="0.5">
      <c r="A85" t="s">
        <v>111</v>
      </c>
      <c r="B85" t="s">
        <v>19</v>
      </c>
      <c r="C85" t="s">
        <v>30</v>
      </c>
      <c r="D85" s="1">
        <v>45953</v>
      </c>
      <c r="E85" s="1">
        <v>45958</v>
      </c>
      <c r="F85" s="1">
        <v>45961</v>
      </c>
      <c r="G85" s="1">
        <v>45966</v>
      </c>
      <c r="H85" t="s">
        <v>17</v>
      </c>
      <c r="J85" s="1">
        <v>45981</v>
      </c>
      <c r="K85" s="7">
        <v>5</v>
      </c>
      <c r="L85" s="7">
        <v>3</v>
      </c>
      <c r="M85" s="7">
        <v>5</v>
      </c>
      <c r="N85" s="7">
        <v>5</v>
      </c>
    </row>
    <row r="86" spans="1:14" x14ac:dyDescent="0.5">
      <c r="A86" t="s">
        <v>112</v>
      </c>
      <c r="B86" t="s">
        <v>19</v>
      </c>
      <c r="C86" t="s">
        <v>16</v>
      </c>
      <c r="D86" s="1">
        <v>45946</v>
      </c>
      <c r="E86" s="1">
        <v>45950</v>
      </c>
      <c r="F86" s="1">
        <v>45952</v>
      </c>
      <c r="G86" s="1">
        <v>45958</v>
      </c>
      <c r="H86" t="s">
        <v>17</v>
      </c>
      <c r="J86" s="1">
        <v>45987</v>
      </c>
      <c r="K86" s="7">
        <v>4</v>
      </c>
      <c r="L86" s="7">
        <v>2</v>
      </c>
      <c r="M86" s="7">
        <v>6</v>
      </c>
      <c r="N86" s="7">
        <v>4</v>
      </c>
    </row>
    <row r="87" spans="1:14" ht="36" x14ac:dyDescent="0.5">
      <c r="A87" t="s">
        <v>113</v>
      </c>
      <c r="B87" t="s">
        <v>19</v>
      </c>
      <c r="C87" t="s">
        <v>22</v>
      </c>
      <c r="D87" s="1">
        <v>45951</v>
      </c>
      <c r="H87" t="s">
        <v>23</v>
      </c>
      <c r="I87" s="2" t="s">
        <v>26</v>
      </c>
    </row>
    <row r="88" spans="1:14" x14ac:dyDescent="0.5">
      <c r="A88" t="s">
        <v>114</v>
      </c>
      <c r="B88" t="s">
        <v>19</v>
      </c>
      <c r="C88" t="s">
        <v>30</v>
      </c>
      <c r="D88" s="1">
        <v>45953</v>
      </c>
      <c r="E88" s="1">
        <v>45954</v>
      </c>
      <c r="F88" s="1">
        <v>45958</v>
      </c>
      <c r="G88" s="1">
        <v>45961</v>
      </c>
      <c r="H88" t="s">
        <v>17</v>
      </c>
      <c r="J88" s="1">
        <v>45981</v>
      </c>
      <c r="K88" s="7">
        <v>1</v>
      </c>
      <c r="L88" s="7">
        <v>4</v>
      </c>
      <c r="M88" s="7">
        <v>3</v>
      </c>
      <c r="N88" s="7">
        <v>7</v>
      </c>
    </row>
    <row r="89" spans="1:14" ht="36" x14ac:dyDescent="0.5">
      <c r="A89" t="s">
        <v>115</v>
      </c>
      <c r="B89" t="s">
        <v>19</v>
      </c>
      <c r="C89" t="s">
        <v>22</v>
      </c>
      <c r="D89" s="1">
        <v>45946</v>
      </c>
      <c r="H89" t="s">
        <v>23</v>
      </c>
      <c r="I89" s="2" t="s">
        <v>33</v>
      </c>
    </row>
    <row r="90" spans="1:14" x14ac:dyDescent="0.5">
      <c r="A90" t="s">
        <v>116</v>
      </c>
      <c r="B90" t="s">
        <v>21</v>
      </c>
      <c r="C90" t="s">
        <v>30</v>
      </c>
      <c r="D90" s="1">
        <v>45945</v>
      </c>
      <c r="E90" s="1">
        <v>45947</v>
      </c>
      <c r="F90" s="1">
        <v>45950</v>
      </c>
      <c r="G90" s="1">
        <v>45956</v>
      </c>
      <c r="H90" t="s">
        <v>17</v>
      </c>
      <c r="J90" s="1">
        <v>45985</v>
      </c>
      <c r="K90" s="7">
        <v>2</v>
      </c>
      <c r="L90" s="7">
        <v>3</v>
      </c>
      <c r="M90" s="7">
        <v>6</v>
      </c>
      <c r="N90" s="7">
        <v>5</v>
      </c>
    </row>
    <row r="91" spans="1:14" x14ac:dyDescent="0.5">
      <c r="A91" t="s">
        <v>117</v>
      </c>
      <c r="B91" t="s">
        <v>21</v>
      </c>
      <c r="C91" t="s">
        <v>30</v>
      </c>
      <c r="D91" s="1">
        <v>45956</v>
      </c>
      <c r="E91" s="1">
        <v>45957</v>
      </c>
      <c r="F91" s="1">
        <v>45961</v>
      </c>
      <c r="G91" s="1">
        <v>45966</v>
      </c>
      <c r="H91" t="s">
        <v>17</v>
      </c>
      <c r="J91" s="1">
        <v>45983</v>
      </c>
      <c r="K91" s="7">
        <v>1</v>
      </c>
      <c r="L91" s="7">
        <v>4</v>
      </c>
      <c r="M91" s="7">
        <v>5</v>
      </c>
      <c r="N91" s="7">
        <v>8</v>
      </c>
    </row>
    <row r="92" spans="1:14" x14ac:dyDescent="0.5">
      <c r="A92" t="s">
        <v>118</v>
      </c>
      <c r="B92" t="s">
        <v>19</v>
      </c>
      <c r="C92" t="s">
        <v>16</v>
      </c>
      <c r="D92" s="1">
        <v>45931</v>
      </c>
      <c r="E92" s="1">
        <v>45932</v>
      </c>
      <c r="F92" s="1">
        <v>45935</v>
      </c>
      <c r="G92" s="1">
        <v>45940</v>
      </c>
      <c r="H92" t="s">
        <v>17</v>
      </c>
      <c r="J92" s="1">
        <v>45970</v>
      </c>
      <c r="K92" s="7">
        <v>1</v>
      </c>
      <c r="L92" s="7">
        <v>3</v>
      </c>
      <c r="M92" s="7">
        <v>5</v>
      </c>
      <c r="N92" s="7">
        <v>0</v>
      </c>
    </row>
    <row r="93" spans="1:14" x14ac:dyDescent="0.5">
      <c r="A93" t="s">
        <v>119</v>
      </c>
      <c r="B93" t="s">
        <v>32</v>
      </c>
      <c r="C93" t="s">
        <v>30</v>
      </c>
      <c r="D93" s="1">
        <v>45933</v>
      </c>
      <c r="E93" s="1">
        <v>45938</v>
      </c>
      <c r="F93" s="1">
        <v>45943</v>
      </c>
      <c r="G93" s="1">
        <v>45946</v>
      </c>
      <c r="H93" t="s">
        <v>17</v>
      </c>
      <c r="J93" s="1">
        <v>45974</v>
      </c>
      <c r="K93" s="7">
        <v>5</v>
      </c>
      <c r="L93" s="7">
        <v>5</v>
      </c>
      <c r="M93" s="7">
        <v>3</v>
      </c>
      <c r="N93" s="7">
        <v>9</v>
      </c>
    </row>
    <row r="94" spans="1:14" x14ac:dyDescent="0.5">
      <c r="A94" t="s">
        <v>120</v>
      </c>
      <c r="B94" t="s">
        <v>15</v>
      </c>
      <c r="C94" t="s">
        <v>22</v>
      </c>
      <c r="D94" s="1">
        <v>45940</v>
      </c>
      <c r="H94" t="s">
        <v>23</v>
      </c>
      <c r="I94" s="2" t="s">
        <v>101</v>
      </c>
    </row>
    <row r="95" spans="1:14" ht="36" x14ac:dyDescent="0.5">
      <c r="A95" t="s">
        <v>121</v>
      </c>
      <c r="B95" t="s">
        <v>19</v>
      </c>
      <c r="C95" t="s">
        <v>22</v>
      </c>
      <c r="D95" s="1">
        <v>45938</v>
      </c>
      <c r="H95" t="s">
        <v>23</v>
      </c>
      <c r="I95" s="2" t="s">
        <v>63</v>
      </c>
    </row>
    <row r="96" spans="1:14" ht="36" x14ac:dyDescent="0.5">
      <c r="A96" t="s">
        <v>122</v>
      </c>
      <c r="B96" t="s">
        <v>32</v>
      </c>
      <c r="C96" t="s">
        <v>22</v>
      </c>
      <c r="D96" s="1">
        <v>45943</v>
      </c>
      <c r="H96" t="s">
        <v>23</v>
      </c>
      <c r="I96" s="2" t="s">
        <v>26</v>
      </c>
    </row>
    <row r="97" spans="1:14" x14ac:dyDescent="0.5">
      <c r="A97" t="s">
        <v>123</v>
      </c>
      <c r="B97" t="s">
        <v>15</v>
      </c>
      <c r="C97" t="s">
        <v>16</v>
      </c>
      <c r="D97" s="1">
        <v>45953</v>
      </c>
      <c r="E97" s="1">
        <v>45955</v>
      </c>
      <c r="F97" s="1">
        <v>45958</v>
      </c>
      <c r="G97" s="1">
        <v>45963</v>
      </c>
      <c r="H97" t="s">
        <v>17</v>
      </c>
      <c r="J97" s="1">
        <v>45976</v>
      </c>
      <c r="K97" s="7">
        <v>2</v>
      </c>
      <c r="L97" s="7">
        <v>3</v>
      </c>
      <c r="M97" s="7">
        <v>5</v>
      </c>
      <c r="N97" s="7">
        <v>9</v>
      </c>
    </row>
    <row r="98" spans="1:14" ht="36" x14ac:dyDescent="0.5">
      <c r="A98" t="s">
        <v>124</v>
      </c>
      <c r="B98" t="s">
        <v>19</v>
      </c>
      <c r="C98" t="s">
        <v>30</v>
      </c>
      <c r="D98" s="1">
        <v>45938</v>
      </c>
      <c r="E98" s="1">
        <v>45942</v>
      </c>
      <c r="F98" s="1">
        <v>45945</v>
      </c>
      <c r="G98" s="1">
        <v>45952</v>
      </c>
      <c r="H98" t="s">
        <v>23</v>
      </c>
      <c r="I98" s="2" t="s">
        <v>63</v>
      </c>
      <c r="K98" s="7">
        <v>4</v>
      </c>
      <c r="L98" s="7">
        <v>3</v>
      </c>
      <c r="M98" s="7">
        <v>7</v>
      </c>
    </row>
    <row r="99" spans="1:14" x14ac:dyDescent="0.5">
      <c r="A99" t="s">
        <v>125</v>
      </c>
      <c r="B99" t="s">
        <v>19</v>
      </c>
      <c r="C99" t="s">
        <v>16</v>
      </c>
      <c r="D99" s="1">
        <v>45940</v>
      </c>
      <c r="E99" s="1">
        <v>45944</v>
      </c>
      <c r="F99" s="1">
        <v>45945</v>
      </c>
      <c r="G99" s="1">
        <v>45951</v>
      </c>
      <c r="H99" t="s">
        <v>17</v>
      </c>
      <c r="J99" s="1">
        <v>45976</v>
      </c>
      <c r="K99" s="7">
        <v>4</v>
      </c>
      <c r="L99" s="7">
        <v>1</v>
      </c>
      <c r="M99" s="7">
        <v>6</v>
      </c>
      <c r="N99" s="7">
        <v>6</v>
      </c>
    </row>
    <row r="100" spans="1:14" x14ac:dyDescent="0.5">
      <c r="A100" t="s">
        <v>126</v>
      </c>
      <c r="B100" t="s">
        <v>21</v>
      </c>
      <c r="C100" t="s">
        <v>16</v>
      </c>
      <c r="D100" s="1">
        <v>45952</v>
      </c>
      <c r="E100" s="1">
        <v>45956</v>
      </c>
      <c r="F100" s="1">
        <v>45961</v>
      </c>
      <c r="G100" s="1">
        <v>45968</v>
      </c>
      <c r="H100" t="s">
        <v>17</v>
      </c>
      <c r="J100" s="1">
        <v>45982</v>
      </c>
      <c r="K100" s="7">
        <v>4</v>
      </c>
      <c r="L100" s="7">
        <v>5</v>
      </c>
      <c r="M100" s="7">
        <v>7</v>
      </c>
      <c r="N100" s="7">
        <v>0</v>
      </c>
    </row>
    <row r="101" spans="1:14" x14ac:dyDescent="0.5">
      <c r="A101" t="s">
        <v>127</v>
      </c>
      <c r="B101" t="s">
        <v>15</v>
      </c>
      <c r="C101" t="s">
        <v>16</v>
      </c>
      <c r="D101" s="1">
        <v>45949</v>
      </c>
      <c r="E101" s="1">
        <v>45952</v>
      </c>
      <c r="F101" s="1">
        <v>45957</v>
      </c>
      <c r="G101" s="1">
        <v>45964</v>
      </c>
      <c r="H101" t="s">
        <v>17</v>
      </c>
      <c r="J101" s="1">
        <v>45984</v>
      </c>
      <c r="K101" s="7">
        <v>3</v>
      </c>
      <c r="L101" s="7">
        <v>5</v>
      </c>
      <c r="M101" s="7">
        <v>7</v>
      </c>
      <c r="N101" s="7">
        <v>10</v>
      </c>
    </row>
    <row r="102" spans="1:14" x14ac:dyDescent="0.5">
      <c r="A102" t="s">
        <v>128</v>
      </c>
      <c r="B102" t="s">
        <v>15</v>
      </c>
      <c r="C102" t="s">
        <v>30</v>
      </c>
      <c r="D102" s="1">
        <v>45942</v>
      </c>
      <c r="E102" s="1">
        <v>45944</v>
      </c>
      <c r="F102" s="1">
        <v>45948</v>
      </c>
      <c r="G102" s="1">
        <v>45951</v>
      </c>
      <c r="H102" t="s">
        <v>17</v>
      </c>
      <c r="J102" s="1">
        <v>45963</v>
      </c>
      <c r="K102" s="7">
        <v>2</v>
      </c>
      <c r="L102" s="7">
        <v>4</v>
      </c>
      <c r="M102" s="7">
        <v>3</v>
      </c>
      <c r="N102" s="7">
        <v>1</v>
      </c>
    </row>
    <row r="103" spans="1:14" x14ac:dyDescent="0.5">
      <c r="A103" t="s">
        <v>129</v>
      </c>
      <c r="B103" t="s">
        <v>32</v>
      </c>
      <c r="C103" t="s">
        <v>16</v>
      </c>
      <c r="D103" s="1">
        <v>45946</v>
      </c>
      <c r="E103" s="1">
        <v>45949</v>
      </c>
      <c r="F103" s="1">
        <v>45953</v>
      </c>
      <c r="G103" s="1">
        <v>45959</v>
      </c>
      <c r="H103" t="s">
        <v>17</v>
      </c>
      <c r="J103" s="1">
        <v>45976</v>
      </c>
      <c r="K103" s="7">
        <v>3</v>
      </c>
      <c r="L103" s="7">
        <v>4</v>
      </c>
      <c r="M103" s="7">
        <v>6</v>
      </c>
      <c r="N103" s="7">
        <v>1</v>
      </c>
    </row>
    <row r="104" spans="1:14" x14ac:dyDescent="0.5">
      <c r="A104" t="s">
        <v>130</v>
      </c>
      <c r="B104" t="s">
        <v>21</v>
      </c>
      <c r="C104" t="s">
        <v>16</v>
      </c>
      <c r="D104" s="1">
        <v>45948</v>
      </c>
      <c r="E104" s="1">
        <v>45951</v>
      </c>
      <c r="F104" s="1">
        <v>45954</v>
      </c>
      <c r="G104" s="1">
        <v>45957</v>
      </c>
      <c r="H104" t="s">
        <v>17</v>
      </c>
      <c r="J104" s="1">
        <v>45978</v>
      </c>
      <c r="K104" s="7">
        <v>3</v>
      </c>
      <c r="L104" s="7">
        <v>3</v>
      </c>
      <c r="M104" s="7">
        <v>3</v>
      </c>
      <c r="N104" s="7">
        <v>0</v>
      </c>
    </row>
    <row r="105" spans="1:14" x14ac:dyDescent="0.5">
      <c r="A105" t="s">
        <v>131</v>
      </c>
      <c r="B105" t="s">
        <v>21</v>
      </c>
      <c r="C105" t="s">
        <v>22</v>
      </c>
      <c r="D105" s="1">
        <v>45947</v>
      </c>
      <c r="H105" t="s">
        <v>23</v>
      </c>
      <c r="I105" s="2" t="s">
        <v>101</v>
      </c>
    </row>
    <row r="106" spans="1:14" x14ac:dyDescent="0.5">
      <c r="A106" t="s">
        <v>132</v>
      </c>
      <c r="B106" t="s">
        <v>21</v>
      </c>
      <c r="C106" t="s">
        <v>22</v>
      </c>
      <c r="D106" s="1">
        <v>45942</v>
      </c>
      <c r="H106" t="s">
        <v>23</v>
      </c>
      <c r="I106" s="2" t="s">
        <v>101</v>
      </c>
    </row>
    <row r="107" spans="1:14" x14ac:dyDescent="0.5">
      <c r="A107" t="s">
        <v>133</v>
      </c>
      <c r="B107" t="s">
        <v>21</v>
      </c>
      <c r="C107" t="s">
        <v>16</v>
      </c>
      <c r="D107" s="1">
        <v>45944</v>
      </c>
      <c r="E107" s="1">
        <v>45947</v>
      </c>
      <c r="F107" s="1">
        <v>45949</v>
      </c>
      <c r="G107" s="1">
        <v>45954</v>
      </c>
      <c r="H107" t="s">
        <v>17</v>
      </c>
      <c r="J107" s="1">
        <v>45974</v>
      </c>
      <c r="K107" s="7">
        <v>3</v>
      </c>
      <c r="L107" s="7">
        <v>2</v>
      </c>
      <c r="M107" s="7">
        <v>5</v>
      </c>
      <c r="N107" s="7">
        <v>2</v>
      </c>
    </row>
    <row r="108" spans="1:14" x14ac:dyDescent="0.5">
      <c r="A108" t="s">
        <v>134</v>
      </c>
      <c r="B108" t="s">
        <v>15</v>
      </c>
      <c r="C108" t="s">
        <v>16</v>
      </c>
      <c r="D108" s="1">
        <v>45954</v>
      </c>
      <c r="E108" s="1">
        <v>45959</v>
      </c>
      <c r="F108" s="1">
        <v>45962</v>
      </c>
      <c r="G108" s="1">
        <v>45966</v>
      </c>
      <c r="H108" t="s">
        <v>23</v>
      </c>
      <c r="I108" s="2" t="s">
        <v>24</v>
      </c>
      <c r="K108" s="7">
        <v>5</v>
      </c>
      <c r="L108" s="7">
        <v>3</v>
      </c>
      <c r="M108" s="7">
        <v>4</v>
      </c>
    </row>
    <row r="109" spans="1:14" x14ac:dyDescent="0.5">
      <c r="A109" t="s">
        <v>135</v>
      </c>
      <c r="B109" t="s">
        <v>15</v>
      </c>
      <c r="C109" t="s">
        <v>16</v>
      </c>
      <c r="D109" s="1">
        <v>45948</v>
      </c>
      <c r="E109" s="1">
        <v>45953</v>
      </c>
      <c r="F109" s="1">
        <v>45954</v>
      </c>
      <c r="G109" s="1">
        <v>45957</v>
      </c>
      <c r="H109" t="s">
        <v>17</v>
      </c>
      <c r="J109" s="1">
        <v>45972</v>
      </c>
      <c r="K109" s="7">
        <v>5</v>
      </c>
      <c r="L109" s="7">
        <v>1</v>
      </c>
      <c r="M109" s="7">
        <v>3</v>
      </c>
      <c r="N109" s="7">
        <v>10</v>
      </c>
    </row>
    <row r="110" spans="1:14" x14ac:dyDescent="0.5">
      <c r="A110" t="s">
        <v>136</v>
      </c>
      <c r="B110" t="s">
        <v>19</v>
      </c>
      <c r="C110" t="s">
        <v>30</v>
      </c>
      <c r="D110" s="1">
        <v>45941</v>
      </c>
      <c r="E110" s="1">
        <v>45942</v>
      </c>
      <c r="F110" s="1">
        <v>45945</v>
      </c>
      <c r="G110" s="1">
        <v>45948</v>
      </c>
      <c r="H110" t="s">
        <v>17</v>
      </c>
      <c r="J110" s="1">
        <v>45978</v>
      </c>
      <c r="K110" s="7">
        <v>1</v>
      </c>
      <c r="L110" s="7">
        <v>3</v>
      </c>
      <c r="M110" s="7">
        <v>3</v>
      </c>
      <c r="N110" s="7">
        <v>4</v>
      </c>
    </row>
    <row r="111" spans="1:14" x14ac:dyDescent="0.5">
      <c r="A111" t="s">
        <v>137</v>
      </c>
      <c r="B111" t="s">
        <v>19</v>
      </c>
      <c r="C111" t="s">
        <v>22</v>
      </c>
      <c r="D111" s="1">
        <v>45942</v>
      </c>
      <c r="H111" t="s">
        <v>23</v>
      </c>
      <c r="I111" s="2" t="s">
        <v>101</v>
      </c>
    </row>
    <row r="112" spans="1:14" ht="36" x14ac:dyDescent="0.5">
      <c r="A112" t="s">
        <v>138</v>
      </c>
      <c r="B112" t="s">
        <v>21</v>
      </c>
      <c r="C112" t="s">
        <v>22</v>
      </c>
      <c r="D112" s="1">
        <v>45953</v>
      </c>
      <c r="H112" t="s">
        <v>23</v>
      </c>
      <c r="I112" s="2" t="s">
        <v>63</v>
      </c>
    </row>
    <row r="113" spans="1:14" x14ac:dyDescent="0.5">
      <c r="A113" t="s">
        <v>139</v>
      </c>
      <c r="B113" t="s">
        <v>21</v>
      </c>
      <c r="C113" t="s">
        <v>16</v>
      </c>
      <c r="D113" s="1">
        <v>45945</v>
      </c>
      <c r="E113" s="1">
        <v>45946</v>
      </c>
      <c r="F113" s="1">
        <v>45947</v>
      </c>
      <c r="G113" s="1">
        <v>45951</v>
      </c>
      <c r="H113" t="s">
        <v>17</v>
      </c>
      <c r="J113" s="1">
        <v>45963</v>
      </c>
      <c r="K113" s="7">
        <v>1</v>
      </c>
      <c r="L113" s="7">
        <v>1</v>
      </c>
      <c r="M113" s="7">
        <v>4</v>
      </c>
      <c r="N113" s="7">
        <v>2</v>
      </c>
    </row>
    <row r="114" spans="1:14" ht="36" x14ac:dyDescent="0.5">
      <c r="A114" t="s">
        <v>140</v>
      </c>
      <c r="B114" t="s">
        <v>21</v>
      </c>
      <c r="C114" t="s">
        <v>16</v>
      </c>
      <c r="D114" s="1">
        <v>45939</v>
      </c>
      <c r="E114" s="1">
        <v>45941</v>
      </c>
      <c r="F114" s="1">
        <v>45944</v>
      </c>
      <c r="G114" s="1">
        <v>45949</v>
      </c>
      <c r="H114" t="s">
        <v>23</v>
      </c>
      <c r="I114" s="2" t="s">
        <v>33</v>
      </c>
      <c r="K114" s="7">
        <v>2</v>
      </c>
      <c r="L114" s="7">
        <v>3</v>
      </c>
      <c r="M114" s="7">
        <v>5</v>
      </c>
    </row>
    <row r="115" spans="1:14" x14ac:dyDescent="0.5">
      <c r="A115" t="s">
        <v>141</v>
      </c>
      <c r="B115" t="s">
        <v>19</v>
      </c>
      <c r="C115" t="s">
        <v>30</v>
      </c>
      <c r="D115" s="1">
        <v>45940</v>
      </c>
      <c r="E115" s="1">
        <v>45942</v>
      </c>
      <c r="F115" s="1">
        <v>45946</v>
      </c>
      <c r="G115" s="1">
        <v>45952</v>
      </c>
      <c r="H115" t="s">
        <v>17</v>
      </c>
      <c r="J115" s="1">
        <v>45982</v>
      </c>
      <c r="K115" s="7">
        <v>2</v>
      </c>
      <c r="L115" s="7">
        <v>4</v>
      </c>
      <c r="M115" s="7">
        <v>6</v>
      </c>
      <c r="N115" s="7">
        <v>6</v>
      </c>
    </row>
    <row r="116" spans="1:14" x14ac:dyDescent="0.5">
      <c r="A116" t="s">
        <v>142</v>
      </c>
      <c r="B116" t="s">
        <v>32</v>
      </c>
      <c r="C116" t="s">
        <v>16</v>
      </c>
      <c r="D116" s="1">
        <v>45939</v>
      </c>
      <c r="E116" s="1">
        <v>45944</v>
      </c>
      <c r="F116" s="1">
        <v>45947</v>
      </c>
      <c r="G116" s="1">
        <v>45949</v>
      </c>
      <c r="H116" t="s">
        <v>17</v>
      </c>
      <c r="J116" s="1">
        <v>45969</v>
      </c>
      <c r="K116" s="7">
        <v>5</v>
      </c>
      <c r="L116" s="7">
        <v>3</v>
      </c>
      <c r="M116" s="7">
        <v>2</v>
      </c>
      <c r="N116" s="7">
        <v>10</v>
      </c>
    </row>
    <row r="117" spans="1:14" x14ac:dyDescent="0.5">
      <c r="A117" t="s">
        <v>143</v>
      </c>
      <c r="B117" t="s">
        <v>32</v>
      </c>
      <c r="C117" t="s">
        <v>30</v>
      </c>
      <c r="D117" s="1">
        <v>45938</v>
      </c>
      <c r="E117" s="1">
        <v>45939</v>
      </c>
      <c r="F117" s="1">
        <v>45943</v>
      </c>
      <c r="G117" s="1">
        <v>45947</v>
      </c>
      <c r="H117" t="s">
        <v>17</v>
      </c>
      <c r="J117" s="1">
        <v>45971</v>
      </c>
      <c r="K117" s="7">
        <v>1</v>
      </c>
      <c r="L117" s="7">
        <v>4</v>
      </c>
      <c r="M117" s="7">
        <v>4</v>
      </c>
      <c r="N117" s="7">
        <v>8</v>
      </c>
    </row>
    <row r="118" spans="1:14" ht="36" x14ac:dyDescent="0.5">
      <c r="A118" t="s">
        <v>144</v>
      </c>
      <c r="B118" t="s">
        <v>19</v>
      </c>
      <c r="C118" t="s">
        <v>22</v>
      </c>
      <c r="D118" s="1">
        <v>45934</v>
      </c>
      <c r="H118" t="s">
        <v>23</v>
      </c>
      <c r="I118" s="2" t="s">
        <v>33</v>
      </c>
    </row>
    <row r="119" spans="1:14" x14ac:dyDescent="0.5">
      <c r="A119" t="s">
        <v>145</v>
      </c>
      <c r="B119" t="s">
        <v>19</v>
      </c>
      <c r="C119" t="s">
        <v>30</v>
      </c>
      <c r="D119" s="1">
        <v>45954</v>
      </c>
      <c r="E119" s="1">
        <v>45955</v>
      </c>
      <c r="F119" s="1">
        <v>45957</v>
      </c>
      <c r="G119" s="1">
        <v>45959</v>
      </c>
      <c r="H119" t="s">
        <v>17</v>
      </c>
      <c r="J119" s="1">
        <v>45969</v>
      </c>
      <c r="K119" s="7">
        <v>1</v>
      </c>
      <c r="L119" s="7">
        <v>2</v>
      </c>
      <c r="M119" s="7">
        <v>2</v>
      </c>
      <c r="N119" s="7">
        <v>1</v>
      </c>
    </row>
    <row r="120" spans="1:14" x14ac:dyDescent="0.5">
      <c r="A120" t="s">
        <v>146</v>
      </c>
      <c r="B120" t="s">
        <v>19</v>
      </c>
      <c r="C120" t="s">
        <v>16</v>
      </c>
      <c r="D120" s="1">
        <v>45937</v>
      </c>
      <c r="E120" s="1">
        <v>45940</v>
      </c>
      <c r="F120" s="1">
        <v>45942</v>
      </c>
      <c r="G120" s="1">
        <v>45947</v>
      </c>
      <c r="H120" t="s">
        <v>17</v>
      </c>
      <c r="J120" s="1">
        <v>45965</v>
      </c>
      <c r="K120" s="7">
        <v>3</v>
      </c>
      <c r="L120" s="7">
        <v>2</v>
      </c>
      <c r="M120" s="7">
        <v>5</v>
      </c>
      <c r="N120" s="7">
        <v>5</v>
      </c>
    </row>
    <row r="121" spans="1:14" x14ac:dyDescent="0.5">
      <c r="A121" t="s">
        <v>147</v>
      </c>
      <c r="B121" t="s">
        <v>19</v>
      </c>
      <c r="C121" t="s">
        <v>22</v>
      </c>
      <c r="D121" s="1">
        <v>45941</v>
      </c>
      <c r="H121" t="s">
        <v>23</v>
      </c>
      <c r="I121" s="2" t="s">
        <v>24</v>
      </c>
    </row>
    <row r="122" spans="1:14" x14ac:dyDescent="0.5">
      <c r="A122" t="s">
        <v>148</v>
      </c>
      <c r="B122" t="s">
        <v>19</v>
      </c>
      <c r="C122" t="s">
        <v>16</v>
      </c>
      <c r="D122" s="1">
        <v>45934</v>
      </c>
      <c r="E122" s="1">
        <v>45938</v>
      </c>
      <c r="F122" s="1">
        <v>45943</v>
      </c>
      <c r="G122" s="1">
        <v>45946</v>
      </c>
      <c r="H122" t="s">
        <v>17</v>
      </c>
      <c r="J122" s="1">
        <v>45962</v>
      </c>
      <c r="K122" s="7">
        <v>4</v>
      </c>
      <c r="L122" s="7">
        <v>5</v>
      </c>
      <c r="M122" s="7">
        <v>3</v>
      </c>
      <c r="N122" s="7">
        <v>1</v>
      </c>
    </row>
    <row r="123" spans="1:14" x14ac:dyDescent="0.5">
      <c r="A123" t="s">
        <v>149</v>
      </c>
      <c r="B123" t="s">
        <v>19</v>
      </c>
      <c r="C123" t="s">
        <v>30</v>
      </c>
      <c r="D123" s="1">
        <v>45954</v>
      </c>
      <c r="E123" s="1">
        <v>45958</v>
      </c>
      <c r="F123" s="1">
        <v>45961</v>
      </c>
      <c r="G123" s="1">
        <v>45964</v>
      </c>
      <c r="H123" t="s">
        <v>17</v>
      </c>
      <c r="J123" s="1">
        <v>45981</v>
      </c>
      <c r="K123" s="7">
        <v>4</v>
      </c>
      <c r="L123" s="7">
        <v>3</v>
      </c>
      <c r="M123" s="7">
        <v>3</v>
      </c>
      <c r="N123" s="7">
        <v>2</v>
      </c>
    </row>
    <row r="124" spans="1:14" x14ac:dyDescent="0.5">
      <c r="A124" t="s">
        <v>150</v>
      </c>
      <c r="B124" t="s">
        <v>21</v>
      </c>
      <c r="C124" t="s">
        <v>30</v>
      </c>
      <c r="D124" s="1">
        <v>45948</v>
      </c>
      <c r="E124" s="1">
        <v>45952</v>
      </c>
      <c r="F124" s="1">
        <v>45957</v>
      </c>
      <c r="G124" s="1">
        <v>45962</v>
      </c>
      <c r="H124" t="s">
        <v>17</v>
      </c>
      <c r="J124" s="1">
        <v>45974</v>
      </c>
      <c r="K124" s="7">
        <v>4</v>
      </c>
      <c r="L124" s="7">
        <v>5</v>
      </c>
      <c r="M124" s="7">
        <v>5</v>
      </c>
      <c r="N124" s="7">
        <v>6</v>
      </c>
    </row>
    <row r="125" spans="1:14" x14ac:dyDescent="0.5">
      <c r="A125" t="s">
        <v>151</v>
      </c>
      <c r="B125" t="s">
        <v>21</v>
      </c>
      <c r="C125" t="s">
        <v>30</v>
      </c>
      <c r="D125" s="1">
        <v>45961</v>
      </c>
      <c r="E125" s="1">
        <v>45966</v>
      </c>
      <c r="F125" s="1">
        <v>45969</v>
      </c>
      <c r="G125" s="1">
        <v>45975</v>
      </c>
      <c r="H125" t="s">
        <v>17</v>
      </c>
      <c r="J125" s="1">
        <v>45996</v>
      </c>
      <c r="K125" s="7">
        <v>5</v>
      </c>
      <c r="L125" s="7">
        <v>3</v>
      </c>
      <c r="M125" s="7">
        <v>6</v>
      </c>
      <c r="N125" s="7">
        <v>5</v>
      </c>
    </row>
    <row r="126" spans="1:14" x14ac:dyDescent="0.5">
      <c r="A126" t="s">
        <v>152</v>
      </c>
      <c r="B126" t="s">
        <v>21</v>
      </c>
      <c r="C126" t="s">
        <v>16</v>
      </c>
      <c r="D126" s="1">
        <v>45955</v>
      </c>
      <c r="E126" s="1">
        <v>45959</v>
      </c>
      <c r="F126" s="1">
        <v>45961</v>
      </c>
      <c r="G126" s="1">
        <v>45967</v>
      </c>
      <c r="H126" t="s">
        <v>17</v>
      </c>
      <c r="J126" s="1">
        <v>45985</v>
      </c>
      <c r="K126" s="7">
        <v>4</v>
      </c>
      <c r="L126" s="7">
        <v>2</v>
      </c>
      <c r="M126" s="7">
        <v>6</v>
      </c>
      <c r="N126" s="7">
        <v>4</v>
      </c>
    </row>
    <row r="127" spans="1:14" x14ac:dyDescent="0.5">
      <c r="A127" t="s">
        <v>153</v>
      </c>
      <c r="B127" t="s">
        <v>21</v>
      </c>
      <c r="C127" t="s">
        <v>30</v>
      </c>
      <c r="D127" s="1">
        <v>45953</v>
      </c>
      <c r="E127" s="1">
        <v>45957</v>
      </c>
      <c r="F127" s="1">
        <v>45958</v>
      </c>
      <c r="G127" s="1">
        <v>45965</v>
      </c>
      <c r="H127" t="s">
        <v>17</v>
      </c>
      <c r="J127" s="1">
        <v>45978</v>
      </c>
      <c r="K127" s="7">
        <v>4</v>
      </c>
      <c r="L127" s="7">
        <v>1</v>
      </c>
      <c r="M127" s="7">
        <v>7</v>
      </c>
      <c r="N127" s="7">
        <v>0</v>
      </c>
    </row>
    <row r="128" spans="1:14" x14ac:dyDescent="0.5">
      <c r="A128" t="s">
        <v>154</v>
      </c>
      <c r="B128" t="s">
        <v>19</v>
      </c>
      <c r="C128" t="s">
        <v>16</v>
      </c>
      <c r="D128" s="1">
        <v>45936</v>
      </c>
      <c r="E128" s="1">
        <v>45939</v>
      </c>
      <c r="F128" s="1">
        <v>45944</v>
      </c>
      <c r="G128" s="1">
        <v>45949</v>
      </c>
      <c r="H128" t="s">
        <v>17</v>
      </c>
      <c r="J128" s="1">
        <v>45959</v>
      </c>
      <c r="K128" s="7">
        <v>3</v>
      </c>
      <c r="L128" s="7">
        <v>5</v>
      </c>
      <c r="M128" s="7">
        <v>5</v>
      </c>
      <c r="N128" s="7">
        <v>4</v>
      </c>
    </row>
    <row r="129" spans="1:14" ht="36" x14ac:dyDescent="0.5">
      <c r="A129" t="s">
        <v>155</v>
      </c>
      <c r="B129" t="s">
        <v>32</v>
      </c>
      <c r="C129" t="s">
        <v>22</v>
      </c>
      <c r="D129" s="1">
        <v>45937</v>
      </c>
      <c r="H129" t="s">
        <v>23</v>
      </c>
      <c r="I129" s="2" t="s">
        <v>63</v>
      </c>
    </row>
    <row r="130" spans="1:14" x14ac:dyDescent="0.5">
      <c r="A130" t="s">
        <v>156</v>
      </c>
      <c r="B130" t="s">
        <v>15</v>
      </c>
      <c r="C130" t="s">
        <v>30</v>
      </c>
      <c r="D130" s="1">
        <v>45937</v>
      </c>
      <c r="E130" s="1">
        <v>45939</v>
      </c>
      <c r="F130" s="1">
        <v>45944</v>
      </c>
      <c r="G130" s="1">
        <v>45949</v>
      </c>
      <c r="H130" t="s">
        <v>17</v>
      </c>
      <c r="J130" s="1">
        <v>45960</v>
      </c>
      <c r="K130" s="7">
        <v>2</v>
      </c>
      <c r="L130" s="7">
        <v>5</v>
      </c>
      <c r="M130" s="7">
        <v>5</v>
      </c>
      <c r="N130" s="7">
        <v>4</v>
      </c>
    </row>
    <row r="131" spans="1:14" ht="36" x14ac:dyDescent="0.5">
      <c r="A131" t="s">
        <v>157</v>
      </c>
      <c r="B131" t="s">
        <v>19</v>
      </c>
      <c r="C131" t="s">
        <v>22</v>
      </c>
      <c r="D131" s="1">
        <v>45954</v>
      </c>
      <c r="H131" t="s">
        <v>23</v>
      </c>
      <c r="I131" s="2" t="s">
        <v>63</v>
      </c>
    </row>
    <row r="132" spans="1:14" x14ac:dyDescent="0.5">
      <c r="A132" t="s">
        <v>158</v>
      </c>
      <c r="B132" t="s">
        <v>15</v>
      </c>
      <c r="C132" t="s">
        <v>22</v>
      </c>
      <c r="D132" s="1">
        <v>45946</v>
      </c>
      <c r="H132" t="s">
        <v>23</v>
      </c>
      <c r="I132" s="2" t="s">
        <v>101</v>
      </c>
    </row>
    <row r="133" spans="1:14" x14ac:dyDescent="0.5">
      <c r="A133" t="s">
        <v>159</v>
      </c>
      <c r="B133" t="s">
        <v>32</v>
      </c>
      <c r="C133" t="s">
        <v>30</v>
      </c>
      <c r="D133" s="1">
        <v>45939</v>
      </c>
      <c r="E133" s="1">
        <v>45944</v>
      </c>
      <c r="F133" s="1">
        <v>45946</v>
      </c>
      <c r="G133" s="1">
        <v>45953</v>
      </c>
      <c r="H133" t="s">
        <v>17</v>
      </c>
      <c r="J133" s="1">
        <v>45975</v>
      </c>
      <c r="K133" s="7">
        <v>5</v>
      </c>
      <c r="L133" s="7">
        <v>2</v>
      </c>
      <c r="M133" s="7">
        <v>7</v>
      </c>
      <c r="N133" s="7">
        <v>4</v>
      </c>
    </row>
    <row r="134" spans="1:14" ht="36" x14ac:dyDescent="0.5">
      <c r="A134" t="s">
        <v>160</v>
      </c>
      <c r="B134" t="s">
        <v>21</v>
      </c>
      <c r="C134" t="s">
        <v>22</v>
      </c>
      <c r="D134" s="1">
        <v>45954</v>
      </c>
      <c r="H134" t="s">
        <v>23</v>
      </c>
      <c r="I134" s="2" t="s">
        <v>63</v>
      </c>
    </row>
    <row r="135" spans="1:14" x14ac:dyDescent="0.5">
      <c r="A135" t="s">
        <v>161</v>
      </c>
      <c r="B135" t="s">
        <v>32</v>
      </c>
      <c r="C135" t="s">
        <v>16</v>
      </c>
      <c r="D135" s="1">
        <v>45949</v>
      </c>
      <c r="E135" s="1">
        <v>45950</v>
      </c>
      <c r="F135" s="1">
        <v>45952</v>
      </c>
      <c r="G135" s="1">
        <v>45957</v>
      </c>
      <c r="H135" t="s">
        <v>17</v>
      </c>
      <c r="J135" s="1">
        <v>45981</v>
      </c>
      <c r="K135" s="7">
        <v>1</v>
      </c>
      <c r="L135" s="7">
        <v>2</v>
      </c>
      <c r="M135" s="7">
        <v>5</v>
      </c>
      <c r="N135" s="7">
        <v>2</v>
      </c>
    </row>
    <row r="136" spans="1:14" ht="36" x14ac:dyDescent="0.5">
      <c r="A136" t="s">
        <v>162</v>
      </c>
      <c r="B136" t="s">
        <v>19</v>
      </c>
      <c r="C136" t="s">
        <v>22</v>
      </c>
      <c r="D136" s="1">
        <v>45955</v>
      </c>
      <c r="H136" t="s">
        <v>23</v>
      </c>
      <c r="I136" s="2" t="s">
        <v>26</v>
      </c>
    </row>
    <row r="137" spans="1:14" x14ac:dyDescent="0.5">
      <c r="A137" t="s">
        <v>163</v>
      </c>
      <c r="B137" t="s">
        <v>21</v>
      </c>
      <c r="C137" t="s">
        <v>16</v>
      </c>
      <c r="D137" s="1">
        <v>45947</v>
      </c>
      <c r="E137" s="1">
        <v>45950</v>
      </c>
      <c r="F137" s="1">
        <v>45951</v>
      </c>
      <c r="G137" s="1">
        <v>45956</v>
      </c>
      <c r="H137" t="s">
        <v>17</v>
      </c>
      <c r="J137" s="1">
        <v>45979</v>
      </c>
      <c r="K137" s="7">
        <v>3</v>
      </c>
      <c r="L137" s="7">
        <v>1</v>
      </c>
      <c r="M137" s="7">
        <v>5</v>
      </c>
      <c r="N137" s="7">
        <v>3</v>
      </c>
    </row>
    <row r="138" spans="1:14" x14ac:dyDescent="0.5">
      <c r="A138" t="s">
        <v>164</v>
      </c>
      <c r="B138" t="s">
        <v>19</v>
      </c>
      <c r="C138" t="s">
        <v>16</v>
      </c>
      <c r="D138" s="1">
        <v>45950</v>
      </c>
      <c r="E138" s="1">
        <v>45954</v>
      </c>
      <c r="F138" s="1">
        <v>45959</v>
      </c>
      <c r="G138" s="1">
        <v>45966</v>
      </c>
      <c r="H138" t="s">
        <v>17</v>
      </c>
      <c r="J138" s="1">
        <v>45981</v>
      </c>
      <c r="K138" s="7">
        <v>4</v>
      </c>
      <c r="L138" s="7">
        <v>5</v>
      </c>
      <c r="M138" s="7">
        <v>7</v>
      </c>
      <c r="N138" s="7">
        <v>0</v>
      </c>
    </row>
    <row r="139" spans="1:14" x14ac:dyDescent="0.5">
      <c r="A139" t="s">
        <v>165</v>
      </c>
      <c r="B139" t="s">
        <v>21</v>
      </c>
      <c r="C139" t="s">
        <v>16</v>
      </c>
      <c r="D139" s="1">
        <v>45940</v>
      </c>
      <c r="E139" s="1">
        <v>45941</v>
      </c>
      <c r="F139" s="1">
        <v>45943</v>
      </c>
      <c r="G139" s="1">
        <v>45948</v>
      </c>
      <c r="H139" t="s">
        <v>23</v>
      </c>
      <c r="I139" s="2" t="s">
        <v>101</v>
      </c>
      <c r="K139" s="7">
        <v>1</v>
      </c>
      <c r="L139" s="7">
        <v>2</v>
      </c>
      <c r="M139" s="7">
        <v>5</v>
      </c>
    </row>
    <row r="140" spans="1:14" ht="36" x14ac:dyDescent="0.5">
      <c r="A140" t="s">
        <v>166</v>
      </c>
      <c r="B140" t="s">
        <v>15</v>
      </c>
      <c r="C140" t="s">
        <v>22</v>
      </c>
      <c r="D140" s="1">
        <v>45934</v>
      </c>
      <c r="H140" t="s">
        <v>23</v>
      </c>
      <c r="I140" s="2" t="s">
        <v>26</v>
      </c>
    </row>
    <row r="141" spans="1:14" x14ac:dyDescent="0.5">
      <c r="A141" t="s">
        <v>167</v>
      </c>
      <c r="B141" t="s">
        <v>15</v>
      </c>
      <c r="C141" t="s">
        <v>16</v>
      </c>
      <c r="D141" s="1">
        <v>45957</v>
      </c>
      <c r="E141" s="1">
        <v>45960</v>
      </c>
      <c r="F141" s="1">
        <v>45962</v>
      </c>
      <c r="G141" s="1">
        <v>45967</v>
      </c>
      <c r="H141" t="s">
        <v>17</v>
      </c>
      <c r="J141" s="1">
        <v>45990</v>
      </c>
      <c r="K141" s="7">
        <v>3</v>
      </c>
      <c r="L141" s="7">
        <v>2</v>
      </c>
      <c r="M141" s="7">
        <v>5</v>
      </c>
      <c r="N141" s="7">
        <v>5</v>
      </c>
    </row>
    <row r="142" spans="1:14" x14ac:dyDescent="0.5">
      <c r="A142" t="s">
        <v>168</v>
      </c>
      <c r="B142" t="s">
        <v>15</v>
      </c>
      <c r="C142" t="s">
        <v>16</v>
      </c>
      <c r="D142" s="1">
        <v>45937</v>
      </c>
      <c r="E142" s="1">
        <v>45942</v>
      </c>
      <c r="F142" s="1">
        <v>45943</v>
      </c>
      <c r="G142" s="1">
        <v>45946</v>
      </c>
      <c r="H142" t="s">
        <v>17</v>
      </c>
      <c r="J142" s="1">
        <v>45971</v>
      </c>
      <c r="K142" s="7">
        <v>5</v>
      </c>
      <c r="L142" s="7">
        <v>1</v>
      </c>
      <c r="M142" s="7">
        <v>3</v>
      </c>
      <c r="N142" s="7">
        <v>0</v>
      </c>
    </row>
    <row r="143" spans="1:14" x14ac:dyDescent="0.5">
      <c r="A143" t="s">
        <v>169</v>
      </c>
      <c r="B143" t="s">
        <v>32</v>
      </c>
      <c r="C143" t="s">
        <v>22</v>
      </c>
      <c r="D143" s="1">
        <v>45940</v>
      </c>
      <c r="H143" t="s">
        <v>23</v>
      </c>
      <c r="I143" s="2" t="s">
        <v>24</v>
      </c>
    </row>
    <row r="144" spans="1:14" x14ac:dyDescent="0.5">
      <c r="A144" t="s">
        <v>170</v>
      </c>
      <c r="B144" t="s">
        <v>19</v>
      </c>
      <c r="C144" t="s">
        <v>30</v>
      </c>
      <c r="D144" s="1">
        <v>45938</v>
      </c>
      <c r="E144" s="1">
        <v>45942</v>
      </c>
      <c r="F144" s="1">
        <v>45943</v>
      </c>
      <c r="G144" s="1">
        <v>45945</v>
      </c>
      <c r="H144" t="s">
        <v>17</v>
      </c>
      <c r="J144" s="1">
        <v>45967</v>
      </c>
      <c r="K144" s="7">
        <v>4</v>
      </c>
      <c r="L144" s="7">
        <v>1</v>
      </c>
      <c r="M144" s="7">
        <v>2</v>
      </c>
      <c r="N144" s="7">
        <v>4</v>
      </c>
    </row>
    <row r="145" spans="1:14" x14ac:dyDescent="0.5">
      <c r="A145" t="s">
        <v>171</v>
      </c>
      <c r="B145" t="s">
        <v>32</v>
      </c>
      <c r="C145" t="s">
        <v>30</v>
      </c>
      <c r="D145" s="1">
        <v>45942</v>
      </c>
      <c r="E145" s="1">
        <v>45947</v>
      </c>
      <c r="F145" s="1">
        <v>45951</v>
      </c>
      <c r="G145" s="1">
        <v>45957</v>
      </c>
      <c r="H145" t="s">
        <v>17</v>
      </c>
      <c r="J145" s="1">
        <v>45978</v>
      </c>
      <c r="K145" s="7">
        <v>5</v>
      </c>
      <c r="L145" s="7">
        <v>4</v>
      </c>
      <c r="M145" s="7">
        <v>6</v>
      </c>
      <c r="N145" s="7">
        <v>1</v>
      </c>
    </row>
    <row r="146" spans="1:14" x14ac:dyDescent="0.5">
      <c r="A146" t="s">
        <v>172</v>
      </c>
      <c r="B146" t="s">
        <v>15</v>
      </c>
      <c r="C146" t="s">
        <v>30</v>
      </c>
      <c r="D146" s="1">
        <v>45936</v>
      </c>
      <c r="E146" s="1">
        <v>45939</v>
      </c>
      <c r="F146" s="1">
        <v>45942</v>
      </c>
      <c r="G146" s="1">
        <v>45944</v>
      </c>
      <c r="H146" t="s">
        <v>17</v>
      </c>
      <c r="J146" s="1">
        <v>45971</v>
      </c>
      <c r="K146" s="7">
        <v>3</v>
      </c>
      <c r="L146" s="7">
        <v>3</v>
      </c>
      <c r="M146" s="7">
        <v>2</v>
      </c>
      <c r="N146" s="7">
        <v>6</v>
      </c>
    </row>
    <row r="147" spans="1:14" x14ac:dyDescent="0.5">
      <c r="A147" t="s">
        <v>173</v>
      </c>
      <c r="B147" t="s">
        <v>19</v>
      </c>
      <c r="C147" t="s">
        <v>16</v>
      </c>
      <c r="D147" s="1">
        <v>45940</v>
      </c>
      <c r="E147" s="1">
        <v>45941</v>
      </c>
      <c r="F147" s="1">
        <v>45945</v>
      </c>
      <c r="G147" s="1">
        <v>45948</v>
      </c>
      <c r="H147" t="s">
        <v>17</v>
      </c>
      <c r="J147" s="1">
        <v>45970</v>
      </c>
      <c r="K147" s="7">
        <v>1</v>
      </c>
      <c r="L147" s="7">
        <v>4</v>
      </c>
      <c r="M147" s="7">
        <v>3</v>
      </c>
      <c r="N147" s="7">
        <v>1</v>
      </c>
    </row>
    <row r="148" spans="1:14" x14ac:dyDescent="0.5">
      <c r="A148" t="s">
        <v>174</v>
      </c>
      <c r="B148" t="s">
        <v>15</v>
      </c>
      <c r="C148" t="s">
        <v>30</v>
      </c>
      <c r="D148" s="1">
        <v>45931</v>
      </c>
      <c r="E148" s="1">
        <v>45933</v>
      </c>
      <c r="F148" s="1">
        <v>45934</v>
      </c>
      <c r="G148" s="1">
        <v>45938</v>
      </c>
      <c r="H148" t="s">
        <v>17</v>
      </c>
      <c r="J148" s="1">
        <v>45951</v>
      </c>
      <c r="K148" s="7">
        <v>2</v>
      </c>
      <c r="L148" s="7">
        <v>1</v>
      </c>
      <c r="M148" s="7">
        <v>4</v>
      </c>
      <c r="N148" s="7">
        <v>6</v>
      </c>
    </row>
    <row r="149" spans="1:14" ht="36" x14ac:dyDescent="0.5">
      <c r="A149" t="s">
        <v>175</v>
      </c>
      <c r="B149" t="s">
        <v>32</v>
      </c>
      <c r="C149" t="s">
        <v>22</v>
      </c>
      <c r="D149" s="1">
        <v>45953</v>
      </c>
      <c r="H149" t="s">
        <v>23</v>
      </c>
      <c r="I149" s="2" t="s">
        <v>33</v>
      </c>
    </row>
    <row r="150" spans="1:14" x14ac:dyDescent="0.5">
      <c r="A150" t="s">
        <v>176</v>
      </c>
      <c r="B150" t="s">
        <v>32</v>
      </c>
      <c r="C150" t="s">
        <v>30</v>
      </c>
      <c r="D150" s="1">
        <v>45948</v>
      </c>
      <c r="E150" s="1">
        <v>45952</v>
      </c>
      <c r="F150" s="1">
        <v>45954</v>
      </c>
      <c r="G150" s="1">
        <v>45956</v>
      </c>
      <c r="H150" t="s">
        <v>17</v>
      </c>
      <c r="J150" s="1">
        <v>45981</v>
      </c>
      <c r="K150" s="7">
        <v>4</v>
      </c>
      <c r="L150" s="7">
        <v>2</v>
      </c>
      <c r="M150" s="7">
        <v>2</v>
      </c>
      <c r="N150" s="7">
        <v>5</v>
      </c>
    </row>
    <row r="151" spans="1:14" x14ac:dyDescent="0.5">
      <c r="A151" t="s">
        <v>177</v>
      </c>
      <c r="B151" t="s">
        <v>32</v>
      </c>
      <c r="C151" t="s">
        <v>16</v>
      </c>
      <c r="D151" s="1">
        <v>45935</v>
      </c>
      <c r="E151" s="1">
        <v>45940</v>
      </c>
      <c r="F151" s="1">
        <v>45941</v>
      </c>
      <c r="G151" s="1">
        <v>45945</v>
      </c>
      <c r="H151" t="s">
        <v>17</v>
      </c>
      <c r="J151" s="1">
        <v>45973</v>
      </c>
      <c r="K151" s="7">
        <v>5</v>
      </c>
      <c r="L151" s="7">
        <v>1</v>
      </c>
      <c r="M151" s="7">
        <v>4</v>
      </c>
      <c r="N151" s="7">
        <v>4</v>
      </c>
    </row>
    <row r="152" spans="1:14" x14ac:dyDescent="0.5">
      <c r="A152" t="s">
        <v>178</v>
      </c>
      <c r="B152" t="s">
        <v>15</v>
      </c>
      <c r="C152" t="s">
        <v>30</v>
      </c>
      <c r="D152" s="1">
        <v>45939</v>
      </c>
      <c r="E152" s="1">
        <v>45940</v>
      </c>
      <c r="F152" s="1">
        <v>45945</v>
      </c>
      <c r="G152" s="1">
        <v>45948</v>
      </c>
      <c r="H152" t="s">
        <v>17</v>
      </c>
      <c r="J152" s="1">
        <v>45978</v>
      </c>
      <c r="K152" s="7">
        <v>1</v>
      </c>
      <c r="L152" s="7">
        <v>5</v>
      </c>
      <c r="M152" s="7">
        <v>3</v>
      </c>
      <c r="N152" s="7">
        <v>2</v>
      </c>
    </row>
    <row r="153" spans="1:14" x14ac:dyDescent="0.5">
      <c r="A153" t="s">
        <v>179</v>
      </c>
      <c r="B153" t="s">
        <v>19</v>
      </c>
      <c r="C153" t="s">
        <v>22</v>
      </c>
      <c r="D153" s="1">
        <v>45932</v>
      </c>
      <c r="H153" t="s">
        <v>23</v>
      </c>
      <c r="I153" s="2" t="s">
        <v>24</v>
      </c>
    </row>
    <row r="154" spans="1:14" ht="36" x14ac:dyDescent="0.5">
      <c r="A154" t="s">
        <v>180</v>
      </c>
      <c r="B154" t="s">
        <v>19</v>
      </c>
      <c r="C154" t="s">
        <v>22</v>
      </c>
      <c r="D154" s="1">
        <v>45932</v>
      </c>
      <c r="H154" t="s">
        <v>23</v>
      </c>
      <c r="I154" s="2" t="s">
        <v>33</v>
      </c>
    </row>
    <row r="155" spans="1:14" x14ac:dyDescent="0.5">
      <c r="A155" t="s">
        <v>181</v>
      </c>
      <c r="B155" t="s">
        <v>15</v>
      </c>
      <c r="C155" t="s">
        <v>16</v>
      </c>
      <c r="D155" s="1">
        <v>45948</v>
      </c>
      <c r="E155" s="1">
        <v>45949</v>
      </c>
      <c r="F155" s="1">
        <v>45951</v>
      </c>
      <c r="G155" s="1">
        <v>45957</v>
      </c>
      <c r="H155" t="s">
        <v>17</v>
      </c>
      <c r="J155" s="1">
        <v>45974</v>
      </c>
      <c r="K155" s="7">
        <v>1</v>
      </c>
      <c r="L155" s="7">
        <v>2</v>
      </c>
      <c r="M155" s="7">
        <v>6</v>
      </c>
      <c r="N155" s="7">
        <v>7</v>
      </c>
    </row>
    <row r="156" spans="1:14" x14ac:dyDescent="0.5">
      <c r="A156" t="s">
        <v>182</v>
      </c>
      <c r="B156" t="s">
        <v>19</v>
      </c>
      <c r="C156" t="s">
        <v>22</v>
      </c>
      <c r="D156" s="1">
        <v>45940</v>
      </c>
      <c r="H156" t="s">
        <v>23</v>
      </c>
      <c r="I156" s="2" t="s">
        <v>24</v>
      </c>
    </row>
    <row r="157" spans="1:14" x14ac:dyDescent="0.5">
      <c r="A157" t="s">
        <v>183</v>
      </c>
      <c r="B157" t="s">
        <v>15</v>
      </c>
      <c r="C157" t="s">
        <v>30</v>
      </c>
      <c r="D157" s="1">
        <v>45953</v>
      </c>
      <c r="E157" s="1">
        <v>45955</v>
      </c>
      <c r="F157" s="1">
        <v>45959</v>
      </c>
      <c r="G157" s="1">
        <v>45963</v>
      </c>
      <c r="H157" t="s">
        <v>17</v>
      </c>
      <c r="J157" s="1">
        <v>45978</v>
      </c>
      <c r="K157" s="7">
        <v>2</v>
      </c>
      <c r="L157" s="7">
        <v>4</v>
      </c>
      <c r="M157" s="7">
        <v>4</v>
      </c>
      <c r="N157" s="7">
        <v>4</v>
      </c>
    </row>
    <row r="158" spans="1:14" ht="36" x14ac:dyDescent="0.5">
      <c r="A158" t="s">
        <v>184</v>
      </c>
      <c r="B158" t="s">
        <v>19</v>
      </c>
      <c r="C158" t="s">
        <v>22</v>
      </c>
      <c r="D158" s="1">
        <v>45961</v>
      </c>
      <c r="H158" t="s">
        <v>23</v>
      </c>
      <c r="I158" s="2" t="s">
        <v>63</v>
      </c>
    </row>
    <row r="159" spans="1:14" x14ac:dyDescent="0.5">
      <c r="A159" t="s">
        <v>185</v>
      </c>
      <c r="B159" t="s">
        <v>21</v>
      </c>
      <c r="C159" t="s">
        <v>30</v>
      </c>
      <c r="D159" s="1">
        <v>45935</v>
      </c>
      <c r="E159" s="1">
        <v>45938</v>
      </c>
      <c r="F159" s="1">
        <v>45942</v>
      </c>
      <c r="G159" s="1">
        <v>45945</v>
      </c>
      <c r="H159" t="s">
        <v>17</v>
      </c>
      <c r="J159" s="1">
        <v>45969</v>
      </c>
      <c r="K159" s="7">
        <v>3</v>
      </c>
      <c r="L159" s="7">
        <v>4</v>
      </c>
      <c r="M159" s="7">
        <v>3</v>
      </c>
      <c r="N159" s="7">
        <v>8</v>
      </c>
    </row>
    <row r="160" spans="1:14" ht="36" x14ac:dyDescent="0.5">
      <c r="A160" t="s">
        <v>186</v>
      </c>
      <c r="B160" t="s">
        <v>21</v>
      </c>
      <c r="C160" t="s">
        <v>22</v>
      </c>
      <c r="D160" s="1">
        <v>45951</v>
      </c>
      <c r="H160" t="s">
        <v>23</v>
      </c>
      <c r="I160" s="2" t="s">
        <v>26</v>
      </c>
    </row>
    <row r="161" spans="1:14" x14ac:dyDescent="0.5">
      <c r="A161" t="s">
        <v>187</v>
      </c>
      <c r="B161" t="s">
        <v>32</v>
      </c>
      <c r="C161" t="s">
        <v>30</v>
      </c>
      <c r="D161" s="1">
        <v>45958</v>
      </c>
      <c r="E161" s="1">
        <v>45960</v>
      </c>
      <c r="F161" s="1">
        <v>45964</v>
      </c>
      <c r="G161" s="1">
        <v>45969</v>
      </c>
      <c r="H161" t="s">
        <v>17</v>
      </c>
      <c r="J161" s="1">
        <v>45981</v>
      </c>
      <c r="K161" s="7">
        <v>2</v>
      </c>
      <c r="L161" s="7">
        <v>4</v>
      </c>
      <c r="M161" s="7">
        <v>5</v>
      </c>
      <c r="N161" s="7">
        <v>5</v>
      </c>
    </row>
    <row r="162" spans="1:14" x14ac:dyDescent="0.5">
      <c r="A162" t="s">
        <v>188</v>
      </c>
      <c r="B162" t="s">
        <v>21</v>
      </c>
      <c r="C162" t="s">
        <v>16</v>
      </c>
      <c r="D162" s="1">
        <v>45955</v>
      </c>
      <c r="E162" s="1">
        <v>45957</v>
      </c>
      <c r="F162" s="1">
        <v>45959</v>
      </c>
      <c r="G162" s="1">
        <v>45965</v>
      </c>
      <c r="H162" t="s">
        <v>17</v>
      </c>
      <c r="J162" s="1">
        <v>45976</v>
      </c>
      <c r="K162" s="7">
        <v>2</v>
      </c>
      <c r="L162" s="7">
        <v>2</v>
      </c>
      <c r="M162" s="7">
        <v>6</v>
      </c>
      <c r="N162" s="7">
        <v>3</v>
      </c>
    </row>
    <row r="163" spans="1:14" x14ac:dyDescent="0.5">
      <c r="A163" t="s">
        <v>189</v>
      </c>
      <c r="B163" t="s">
        <v>21</v>
      </c>
      <c r="C163" t="s">
        <v>16</v>
      </c>
      <c r="D163" s="1">
        <v>45946</v>
      </c>
      <c r="E163" s="1">
        <v>45949</v>
      </c>
      <c r="F163" s="1">
        <v>45952</v>
      </c>
      <c r="G163" s="1">
        <v>45959</v>
      </c>
      <c r="H163" t="s">
        <v>17</v>
      </c>
      <c r="J163" s="1">
        <v>45978</v>
      </c>
      <c r="K163" s="7">
        <v>3</v>
      </c>
      <c r="L163" s="7">
        <v>3</v>
      </c>
      <c r="M163" s="7">
        <v>7</v>
      </c>
      <c r="N163" s="7">
        <v>2</v>
      </c>
    </row>
    <row r="164" spans="1:14" x14ac:dyDescent="0.5">
      <c r="A164" t="s">
        <v>190</v>
      </c>
      <c r="B164" t="s">
        <v>21</v>
      </c>
      <c r="C164" t="s">
        <v>30</v>
      </c>
      <c r="D164" s="1">
        <v>45934</v>
      </c>
      <c r="E164" s="1">
        <v>45937</v>
      </c>
      <c r="F164" s="1">
        <v>45940</v>
      </c>
      <c r="G164" s="1">
        <v>45945</v>
      </c>
      <c r="H164" t="s">
        <v>17</v>
      </c>
      <c r="J164" s="1">
        <v>45955</v>
      </c>
      <c r="K164" s="7">
        <v>3</v>
      </c>
      <c r="L164" s="7">
        <v>3</v>
      </c>
      <c r="M164" s="7">
        <v>5</v>
      </c>
      <c r="N164" s="7">
        <v>7</v>
      </c>
    </row>
    <row r="165" spans="1:14" x14ac:dyDescent="0.5">
      <c r="A165" t="s">
        <v>191</v>
      </c>
      <c r="B165" t="s">
        <v>15</v>
      </c>
      <c r="C165" t="s">
        <v>30</v>
      </c>
      <c r="D165" s="1">
        <v>45958</v>
      </c>
      <c r="E165" s="1">
        <v>45961</v>
      </c>
      <c r="F165" s="1">
        <v>45964</v>
      </c>
      <c r="G165" s="1">
        <v>45970</v>
      </c>
      <c r="H165" t="s">
        <v>17</v>
      </c>
      <c r="J165" s="1">
        <v>45990</v>
      </c>
      <c r="K165" s="7">
        <v>3</v>
      </c>
      <c r="L165" s="7">
        <v>3</v>
      </c>
      <c r="M165" s="7">
        <v>6</v>
      </c>
      <c r="N165" s="7">
        <v>5</v>
      </c>
    </row>
    <row r="166" spans="1:14" x14ac:dyDescent="0.5">
      <c r="A166" t="s">
        <v>192</v>
      </c>
      <c r="B166" t="s">
        <v>21</v>
      </c>
      <c r="C166" t="s">
        <v>30</v>
      </c>
      <c r="D166" s="1">
        <v>45931</v>
      </c>
      <c r="E166" s="1">
        <v>45932</v>
      </c>
      <c r="F166" s="1">
        <v>45933</v>
      </c>
      <c r="G166" s="1">
        <v>45939</v>
      </c>
      <c r="H166" t="s">
        <v>17</v>
      </c>
      <c r="J166" s="1">
        <v>45957</v>
      </c>
      <c r="K166" s="7">
        <v>1</v>
      </c>
      <c r="L166" s="7">
        <v>1</v>
      </c>
      <c r="M166" s="7">
        <v>6</v>
      </c>
      <c r="N166" s="7">
        <v>6</v>
      </c>
    </row>
    <row r="167" spans="1:14" x14ac:dyDescent="0.5">
      <c r="A167" t="s">
        <v>193</v>
      </c>
      <c r="B167" t="s">
        <v>21</v>
      </c>
      <c r="C167" t="s">
        <v>16</v>
      </c>
      <c r="D167" s="1">
        <v>45949</v>
      </c>
      <c r="E167" s="1">
        <v>45950</v>
      </c>
      <c r="F167" s="1">
        <v>45951</v>
      </c>
      <c r="G167" s="1">
        <v>45953</v>
      </c>
      <c r="H167" t="s">
        <v>17</v>
      </c>
      <c r="J167" s="1">
        <v>45966</v>
      </c>
      <c r="K167" s="7">
        <v>1</v>
      </c>
      <c r="L167" s="7">
        <v>1</v>
      </c>
      <c r="M167" s="7">
        <v>2</v>
      </c>
      <c r="N167" s="7">
        <v>2</v>
      </c>
    </row>
    <row r="168" spans="1:14" ht="36" x14ac:dyDescent="0.5">
      <c r="A168" t="s">
        <v>194</v>
      </c>
      <c r="B168" t="s">
        <v>32</v>
      </c>
      <c r="C168" t="s">
        <v>16</v>
      </c>
      <c r="D168" s="1">
        <v>45940</v>
      </c>
      <c r="E168" s="1">
        <v>45944</v>
      </c>
      <c r="F168" s="1">
        <v>45949</v>
      </c>
      <c r="G168" s="1">
        <v>45955</v>
      </c>
      <c r="H168" t="s">
        <v>23</v>
      </c>
      <c r="I168" s="2" t="s">
        <v>33</v>
      </c>
      <c r="K168" s="7">
        <v>4</v>
      </c>
      <c r="L168" s="7">
        <v>5</v>
      </c>
      <c r="M168" s="7">
        <v>6</v>
      </c>
    </row>
    <row r="169" spans="1:14" x14ac:dyDescent="0.5">
      <c r="A169" t="s">
        <v>195</v>
      </c>
      <c r="B169" t="s">
        <v>21</v>
      </c>
      <c r="C169" t="s">
        <v>30</v>
      </c>
      <c r="D169" s="1">
        <v>45946</v>
      </c>
      <c r="E169" s="1">
        <v>45950</v>
      </c>
      <c r="F169" s="1">
        <v>45952</v>
      </c>
      <c r="G169" s="1">
        <v>45954</v>
      </c>
      <c r="H169" t="s">
        <v>23</v>
      </c>
      <c r="I169" s="2" t="s">
        <v>101</v>
      </c>
      <c r="K169" s="7">
        <v>4</v>
      </c>
      <c r="L169" s="7">
        <v>2</v>
      </c>
      <c r="M169" s="7">
        <v>2</v>
      </c>
    </row>
    <row r="170" spans="1:14" x14ac:dyDescent="0.5">
      <c r="A170" t="s">
        <v>196</v>
      </c>
      <c r="B170" t="s">
        <v>21</v>
      </c>
      <c r="C170" t="s">
        <v>16</v>
      </c>
      <c r="D170" s="1">
        <v>45946</v>
      </c>
      <c r="E170" s="1">
        <v>45948</v>
      </c>
      <c r="F170" s="1">
        <v>45953</v>
      </c>
      <c r="G170" s="1">
        <v>45957</v>
      </c>
      <c r="H170" t="s">
        <v>17</v>
      </c>
      <c r="J170" s="1">
        <v>45969</v>
      </c>
      <c r="K170" s="7">
        <v>2</v>
      </c>
      <c r="L170" s="7">
        <v>5</v>
      </c>
      <c r="M170" s="7">
        <v>4</v>
      </c>
      <c r="N170" s="7">
        <v>5</v>
      </c>
    </row>
    <row r="171" spans="1:14" x14ac:dyDescent="0.5">
      <c r="A171" t="s">
        <v>197</v>
      </c>
      <c r="B171" t="s">
        <v>19</v>
      </c>
      <c r="C171" t="s">
        <v>30</v>
      </c>
      <c r="D171" s="1">
        <v>45945</v>
      </c>
      <c r="E171" s="1">
        <v>45947</v>
      </c>
      <c r="F171" s="1">
        <v>45948</v>
      </c>
      <c r="G171" s="1">
        <v>45954</v>
      </c>
      <c r="H171" t="s">
        <v>17</v>
      </c>
      <c r="J171" s="1">
        <v>45974</v>
      </c>
      <c r="K171" s="7">
        <v>2</v>
      </c>
      <c r="L171" s="7">
        <v>1</v>
      </c>
      <c r="M171" s="7">
        <v>6</v>
      </c>
      <c r="N171" s="7">
        <v>2</v>
      </c>
    </row>
    <row r="172" spans="1:14" ht="36" x14ac:dyDescent="0.5">
      <c r="A172" t="s">
        <v>198</v>
      </c>
      <c r="B172" t="s">
        <v>32</v>
      </c>
      <c r="C172" t="s">
        <v>22</v>
      </c>
      <c r="D172" s="1">
        <v>45941</v>
      </c>
      <c r="H172" t="s">
        <v>23</v>
      </c>
      <c r="I172" s="2" t="s">
        <v>26</v>
      </c>
    </row>
    <row r="173" spans="1:14" x14ac:dyDescent="0.5">
      <c r="A173" t="s">
        <v>199</v>
      </c>
      <c r="B173" t="s">
        <v>32</v>
      </c>
      <c r="C173" t="s">
        <v>30</v>
      </c>
      <c r="D173" s="1">
        <v>45936</v>
      </c>
      <c r="E173" s="1">
        <v>45940</v>
      </c>
      <c r="F173" s="1">
        <v>45942</v>
      </c>
      <c r="G173" s="1">
        <v>45946</v>
      </c>
      <c r="H173" t="s">
        <v>17</v>
      </c>
      <c r="J173" s="1">
        <v>45961</v>
      </c>
      <c r="K173" s="7">
        <v>4</v>
      </c>
      <c r="L173" s="7">
        <v>2</v>
      </c>
      <c r="M173" s="7">
        <v>4</v>
      </c>
      <c r="N173" s="7">
        <v>1</v>
      </c>
    </row>
    <row r="174" spans="1:14" x14ac:dyDescent="0.5">
      <c r="A174" t="s">
        <v>200</v>
      </c>
      <c r="B174" t="s">
        <v>32</v>
      </c>
      <c r="C174" t="s">
        <v>30</v>
      </c>
      <c r="D174" s="1">
        <v>45961</v>
      </c>
      <c r="E174" s="1">
        <v>45966</v>
      </c>
      <c r="F174" s="1">
        <v>45970</v>
      </c>
      <c r="G174" s="1">
        <v>45976</v>
      </c>
      <c r="H174" t="s">
        <v>17</v>
      </c>
      <c r="J174" s="1">
        <v>45998</v>
      </c>
      <c r="K174" s="7">
        <v>5</v>
      </c>
      <c r="L174" s="7">
        <v>4</v>
      </c>
      <c r="M174" s="7">
        <v>6</v>
      </c>
      <c r="N174" s="7">
        <v>8</v>
      </c>
    </row>
    <row r="175" spans="1:14" x14ac:dyDescent="0.5">
      <c r="A175" t="s">
        <v>201</v>
      </c>
      <c r="B175" t="s">
        <v>32</v>
      </c>
      <c r="C175" t="s">
        <v>30</v>
      </c>
      <c r="D175" s="1">
        <v>45932</v>
      </c>
      <c r="E175" s="1">
        <v>45934</v>
      </c>
      <c r="F175" s="1">
        <v>45936</v>
      </c>
      <c r="G175" s="1">
        <v>45938</v>
      </c>
      <c r="H175" t="s">
        <v>17</v>
      </c>
      <c r="J175" s="1">
        <v>45953</v>
      </c>
      <c r="K175" s="7">
        <v>2</v>
      </c>
      <c r="L175" s="7">
        <v>2</v>
      </c>
      <c r="M175" s="7">
        <v>2</v>
      </c>
      <c r="N175" s="7">
        <v>6</v>
      </c>
    </row>
    <row r="176" spans="1:14" x14ac:dyDescent="0.5">
      <c r="A176" t="s">
        <v>202</v>
      </c>
      <c r="B176" t="s">
        <v>32</v>
      </c>
      <c r="C176" t="s">
        <v>16</v>
      </c>
      <c r="D176" s="1">
        <v>45939</v>
      </c>
      <c r="E176" s="1">
        <v>45944</v>
      </c>
      <c r="F176" s="1">
        <v>45945</v>
      </c>
      <c r="G176" s="1">
        <v>45952</v>
      </c>
      <c r="H176" t="s">
        <v>17</v>
      </c>
      <c r="J176" s="1">
        <v>45964</v>
      </c>
      <c r="K176" s="7">
        <v>5</v>
      </c>
      <c r="L176" s="7">
        <v>1</v>
      </c>
      <c r="M176" s="7">
        <v>7</v>
      </c>
      <c r="N176" s="7">
        <v>6</v>
      </c>
    </row>
    <row r="177" spans="1:14" x14ac:dyDescent="0.5">
      <c r="A177" t="s">
        <v>203</v>
      </c>
      <c r="B177" t="s">
        <v>32</v>
      </c>
      <c r="C177" t="s">
        <v>22</v>
      </c>
      <c r="D177" s="1">
        <v>45961</v>
      </c>
      <c r="H177" t="s">
        <v>23</v>
      </c>
      <c r="I177" s="2" t="s">
        <v>101</v>
      </c>
    </row>
    <row r="178" spans="1:14" x14ac:dyDescent="0.5">
      <c r="A178" t="s">
        <v>204</v>
      </c>
      <c r="B178" t="s">
        <v>15</v>
      </c>
      <c r="C178" t="s">
        <v>16</v>
      </c>
      <c r="D178" s="1">
        <v>45958</v>
      </c>
      <c r="E178" s="1">
        <v>45963</v>
      </c>
      <c r="F178" s="1">
        <v>45967</v>
      </c>
      <c r="G178" s="1">
        <v>45972</v>
      </c>
      <c r="H178" t="s">
        <v>17</v>
      </c>
      <c r="J178" s="1">
        <v>45999</v>
      </c>
      <c r="K178" s="7">
        <v>5</v>
      </c>
      <c r="L178" s="7">
        <v>4</v>
      </c>
      <c r="M178" s="7">
        <v>5</v>
      </c>
      <c r="N178" s="7">
        <v>3</v>
      </c>
    </row>
    <row r="179" spans="1:14" x14ac:dyDescent="0.5">
      <c r="A179" t="s">
        <v>205</v>
      </c>
      <c r="B179" t="s">
        <v>21</v>
      </c>
      <c r="C179" t="s">
        <v>30</v>
      </c>
      <c r="D179" s="1">
        <v>45946</v>
      </c>
      <c r="E179" s="1">
        <v>45949</v>
      </c>
      <c r="F179" s="1">
        <v>45953</v>
      </c>
      <c r="G179" s="1">
        <v>45959</v>
      </c>
      <c r="H179" t="s">
        <v>17</v>
      </c>
      <c r="J179" s="1">
        <v>45971</v>
      </c>
      <c r="K179" s="7">
        <v>3</v>
      </c>
      <c r="L179" s="7">
        <v>4</v>
      </c>
      <c r="M179" s="7">
        <v>6</v>
      </c>
      <c r="N179" s="7">
        <v>5</v>
      </c>
    </row>
    <row r="180" spans="1:14" x14ac:dyDescent="0.5">
      <c r="A180" t="s">
        <v>206</v>
      </c>
      <c r="B180" t="s">
        <v>32</v>
      </c>
      <c r="C180" t="s">
        <v>16</v>
      </c>
      <c r="D180" s="1">
        <v>45934</v>
      </c>
      <c r="E180" s="1">
        <v>45935</v>
      </c>
      <c r="F180" s="1">
        <v>45937</v>
      </c>
      <c r="G180" s="1">
        <v>45940</v>
      </c>
      <c r="H180" t="s">
        <v>17</v>
      </c>
      <c r="J180" s="1">
        <v>45960</v>
      </c>
      <c r="K180" s="7">
        <v>1</v>
      </c>
      <c r="L180" s="7">
        <v>2</v>
      </c>
      <c r="M180" s="7">
        <v>3</v>
      </c>
      <c r="N180" s="7">
        <v>9</v>
      </c>
    </row>
    <row r="181" spans="1:14" x14ac:dyDescent="0.5">
      <c r="A181" t="s">
        <v>207</v>
      </c>
      <c r="B181" t="s">
        <v>21</v>
      </c>
      <c r="C181" t="s">
        <v>16</v>
      </c>
      <c r="D181" s="1">
        <v>45957</v>
      </c>
      <c r="E181" s="1">
        <v>45961</v>
      </c>
      <c r="F181" s="1">
        <v>45964</v>
      </c>
      <c r="G181" s="1">
        <v>45969</v>
      </c>
      <c r="H181" t="s">
        <v>17</v>
      </c>
      <c r="J181" s="1">
        <v>45998</v>
      </c>
      <c r="K181" s="7">
        <v>4</v>
      </c>
      <c r="L181" s="7">
        <v>3</v>
      </c>
      <c r="M181" s="7">
        <v>5</v>
      </c>
      <c r="N181" s="7">
        <v>4</v>
      </c>
    </row>
    <row r="182" spans="1:14" x14ac:dyDescent="0.5">
      <c r="A182" t="s">
        <v>208</v>
      </c>
      <c r="B182" t="s">
        <v>21</v>
      </c>
      <c r="C182" t="s">
        <v>30</v>
      </c>
      <c r="D182" s="1">
        <v>45933</v>
      </c>
      <c r="E182" s="1">
        <v>45934</v>
      </c>
      <c r="F182" s="1">
        <v>45935</v>
      </c>
      <c r="G182" s="1">
        <v>45937</v>
      </c>
      <c r="H182" t="s">
        <v>17</v>
      </c>
      <c r="J182" s="1">
        <v>45966</v>
      </c>
      <c r="K182" s="7">
        <v>1</v>
      </c>
      <c r="L182" s="7">
        <v>1</v>
      </c>
      <c r="M182" s="7">
        <v>2</v>
      </c>
      <c r="N182" s="7">
        <v>1</v>
      </c>
    </row>
    <row r="183" spans="1:14" x14ac:dyDescent="0.5">
      <c r="A183" t="s">
        <v>209</v>
      </c>
      <c r="B183" t="s">
        <v>15</v>
      </c>
      <c r="C183" t="s">
        <v>16</v>
      </c>
      <c r="D183" s="1">
        <v>45943</v>
      </c>
      <c r="E183" s="1">
        <v>45947</v>
      </c>
      <c r="F183" s="1">
        <v>45948</v>
      </c>
      <c r="G183" s="1">
        <v>45955</v>
      </c>
      <c r="H183" t="s">
        <v>17</v>
      </c>
      <c r="J183" s="1">
        <v>45980</v>
      </c>
      <c r="K183" s="7">
        <v>4</v>
      </c>
      <c r="L183" s="7">
        <v>1</v>
      </c>
      <c r="M183" s="7">
        <v>7</v>
      </c>
      <c r="N183" s="7">
        <v>4</v>
      </c>
    </row>
    <row r="184" spans="1:14" ht="36" x14ac:dyDescent="0.5">
      <c r="A184" t="s">
        <v>210</v>
      </c>
      <c r="B184" t="s">
        <v>32</v>
      </c>
      <c r="C184" t="s">
        <v>22</v>
      </c>
      <c r="D184" s="1">
        <v>45946</v>
      </c>
      <c r="H184" t="s">
        <v>23</v>
      </c>
      <c r="I184" s="2" t="s">
        <v>26</v>
      </c>
    </row>
    <row r="185" spans="1:14" x14ac:dyDescent="0.5">
      <c r="A185" t="s">
        <v>211</v>
      </c>
      <c r="B185" t="s">
        <v>19</v>
      </c>
      <c r="C185" t="s">
        <v>30</v>
      </c>
      <c r="D185" s="1">
        <v>45933</v>
      </c>
      <c r="E185" s="1">
        <v>45934</v>
      </c>
      <c r="F185" s="1">
        <v>45937</v>
      </c>
      <c r="G185" s="1">
        <v>45944</v>
      </c>
      <c r="H185" t="s">
        <v>17</v>
      </c>
      <c r="J185" s="1">
        <v>45954</v>
      </c>
      <c r="K185" s="7">
        <v>1</v>
      </c>
      <c r="L185" s="7">
        <v>3</v>
      </c>
      <c r="M185" s="7">
        <v>7</v>
      </c>
      <c r="N185" s="7">
        <v>6</v>
      </c>
    </row>
    <row r="186" spans="1:14" x14ac:dyDescent="0.5">
      <c r="A186" t="s">
        <v>212</v>
      </c>
      <c r="B186" t="s">
        <v>15</v>
      </c>
      <c r="C186" t="s">
        <v>16</v>
      </c>
      <c r="D186" s="1">
        <v>45949</v>
      </c>
      <c r="E186" s="1">
        <v>45953</v>
      </c>
      <c r="F186" s="1">
        <v>45958</v>
      </c>
      <c r="G186" s="1">
        <v>45961</v>
      </c>
      <c r="H186" t="s">
        <v>17</v>
      </c>
      <c r="J186" s="1">
        <v>45984</v>
      </c>
      <c r="K186" s="7">
        <v>4</v>
      </c>
      <c r="L186" s="7">
        <v>5</v>
      </c>
      <c r="M186" s="7">
        <v>3</v>
      </c>
      <c r="N186" s="7">
        <v>3</v>
      </c>
    </row>
    <row r="187" spans="1:14" x14ac:dyDescent="0.5">
      <c r="A187" t="s">
        <v>213</v>
      </c>
      <c r="B187" t="s">
        <v>19</v>
      </c>
      <c r="C187" t="s">
        <v>16</v>
      </c>
      <c r="D187" s="1">
        <v>45951</v>
      </c>
      <c r="E187" s="1">
        <v>45952</v>
      </c>
      <c r="F187" s="1">
        <v>45957</v>
      </c>
      <c r="G187" s="1">
        <v>45961</v>
      </c>
      <c r="H187" t="s">
        <v>17</v>
      </c>
      <c r="J187" s="1">
        <v>45991</v>
      </c>
      <c r="K187" s="7">
        <v>1</v>
      </c>
      <c r="L187" s="7">
        <v>5</v>
      </c>
      <c r="M187" s="7">
        <v>4</v>
      </c>
      <c r="N187" s="7">
        <v>2</v>
      </c>
    </row>
    <row r="188" spans="1:14" x14ac:dyDescent="0.5">
      <c r="A188" t="s">
        <v>214</v>
      </c>
      <c r="B188" t="s">
        <v>21</v>
      </c>
      <c r="C188" t="s">
        <v>16</v>
      </c>
      <c r="D188" s="1">
        <v>45952</v>
      </c>
      <c r="E188" s="1">
        <v>45955</v>
      </c>
      <c r="F188" s="1">
        <v>45956</v>
      </c>
      <c r="G188" s="1">
        <v>45958</v>
      </c>
      <c r="H188" t="s">
        <v>17</v>
      </c>
      <c r="J188" s="1">
        <v>45973</v>
      </c>
      <c r="K188" s="7">
        <v>3</v>
      </c>
      <c r="L188" s="7">
        <v>1</v>
      </c>
      <c r="M188" s="7">
        <v>2</v>
      </c>
      <c r="N188" s="7">
        <v>3</v>
      </c>
    </row>
    <row r="189" spans="1:14" x14ac:dyDescent="0.5">
      <c r="A189" t="s">
        <v>215</v>
      </c>
      <c r="B189" t="s">
        <v>21</v>
      </c>
      <c r="C189" t="s">
        <v>30</v>
      </c>
      <c r="D189" s="1">
        <v>45932</v>
      </c>
      <c r="E189" s="1">
        <v>45937</v>
      </c>
      <c r="F189" s="1">
        <v>45940</v>
      </c>
      <c r="G189" s="1">
        <v>45945</v>
      </c>
      <c r="H189" t="s">
        <v>17</v>
      </c>
      <c r="J189" s="1">
        <v>45974</v>
      </c>
      <c r="K189" s="7">
        <v>5</v>
      </c>
      <c r="L189" s="7">
        <v>3</v>
      </c>
      <c r="M189" s="7">
        <v>5</v>
      </c>
      <c r="N189" s="7">
        <v>7</v>
      </c>
    </row>
    <row r="190" spans="1:14" x14ac:dyDescent="0.5">
      <c r="A190" t="s">
        <v>216</v>
      </c>
      <c r="B190" t="s">
        <v>15</v>
      </c>
      <c r="C190" t="s">
        <v>30</v>
      </c>
      <c r="D190" s="1">
        <v>45935</v>
      </c>
      <c r="E190" s="1">
        <v>45939</v>
      </c>
      <c r="F190" s="1">
        <v>45942</v>
      </c>
      <c r="G190" s="1">
        <v>45946</v>
      </c>
      <c r="H190" t="s">
        <v>17</v>
      </c>
      <c r="J190" s="1">
        <v>45969</v>
      </c>
      <c r="K190" s="7">
        <v>4</v>
      </c>
      <c r="L190" s="7">
        <v>3</v>
      </c>
      <c r="M190" s="7">
        <v>4</v>
      </c>
      <c r="N190" s="7">
        <v>9</v>
      </c>
    </row>
    <row r="191" spans="1:14" ht="36" x14ac:dyDescent="0.5">
      <c r="A191" t="s">
        <v>217</v>
      </c>
      <c r="B191" t="s">
        <v>15</v>
      </c>
      <c r="C191" t="s">
        <v>22</v>
      </c>
      <c r="D191" s="1">
        <v>45935</v>
      </c>
      <c r="H191" t="s">
        <v>23</v>
      </c>
      <c r="I191" s="2" t="s">
        <v>26</v>
      </c>
    </row>
    <row r="192" spans="1:14" x14ac:dyDescent="0.5">
      <c r="A192" t="s">
        <v>218</v>
      </c>
      <c r="B192" t="s">
        <v>19</v>
      </c>
      <c r="C192" t="s">
        <v>22</v>
      </c>
      <c r="D192" s="1">
        <v>45956</v>
      </c>
      <c r="H192" t="s">
        <v>23</v>
      </c>
      <c r="I192" s="2" t="s">
        <v>24</v>
      </c>
    </row>
    <row r="193" spans="1:14" x14ac:dyDescent="0.5">
      <c r="A193" t="s">
        <v>219</v>
      </c>
      <c r="B193" t="s">
        <v>32</v>
      </c>
      <c r="C193" t="s">
        <v>16</v>
      </c>
      <c r="D193" s="1">
        <v>45949</v>
      </c>
      <c r="E193" s="1">
        <v>45954</v>
      </c>
      <c r="F193" s="1">
        <v>45958</v>
      </c>
      <c r="G193" s="1">
        <v>45962</v>
      </c>
      <c r="H193" t="s">
        <v>17</v>
      </c>
      <c r="J193" s="1">
        <v>45977</v>
      </c>
      <c r="K193" s="7">
        <v>5</v>
      </c>
      <c r="L193" s="7">
        <v>4</v>
      </c>
      <c r="M193" s="7">
        <v>4</v>
      </c>
      <c r="N193" s="7">
        <v>10</v>
      </c>
    </row>
    <row r="194" spans="1:14" ht="36" x14ac:dyDescent="0.5">
      <c r="A194" t="s">
        <v>220</v>
      </c>
      <c r="B194" t="s">
        <v>19</v>
      </c>
      <c r="C194" t="s">
        <v>16</v>
      </c>
      <c r="D194" s="1">
        <v>45961</v>
      </c>
      <c r="E194" s="1">
        <v>45965</v>
      </c>
      <c r="F194" s="1">
        <v>45970</v>
      </c>
      <c r="G194" s="1">
        <v>45972</v>
      </c>
      <c r="H194" t="s">
        <v>23</v>
      </c>
      <c r="I194" s="2" t="s">
        <v>33</v>
      </c>
      <c r="K194" s="7">
        <v>4</v>
      </c>
      <c r="L194" s="7">
        <v>5</v>
      </c>
      <c r="M194" s="7">
        <v>2</v>
      </c>
    </row>
    <row r="195" spans="1:14" x14ac:dyDescent="0.5">
      <c r="A195" t="s">
        <v>221</v>
      </c>
      <c r="B195" t="s">
        <v>15</v>
      </c>
      <c r="C195" t="s">
        <v>16</v>
      </c>
      <c r="D195" s="1">
        <v>45940</v>
      </c>
      <c r="E195" s="1">
        <v>45944</v>
      </c>
      <c r="F195" s="1">
        <v>45949</v>
      </c>
      <c r="G195" s="1">
        <v>45954</v>
      </c>
      <c r="H195" t="s">
        <v>17</v>
      </c>
      <c r="J195" s="1">
        <v>45965</v>
      </c>
      <c r="K195" s="7">
        <v>4</v>
      </c>
      <c r="L195" s="7">
        <v>5</v>
      </c>
      <c r="M195" s="7">
        <v>5</v>
      </c>
      <c r="N195" s="7">
        <v>5</v>
      </c>
    </row>
    <row r="196" spans="1:14" x14ac:dyDescent="0.5">
      <c r="A196" t="s">
        <v>222</v>
      </c>
      <c r="B196" t="s">
        <v>19</v>
      </c>
      <c r="C196" t="s">
        <v>16</v>
      </c>
      <c r="D196" s="1">
        <v>45933</v>
      </c>
      <c r="E196" s="1">
        <v>45936</v>
      </c>
      <c r="F196" s="1">
        <v>45940</v>
      </c>
      <c r="G196" s="1">
        <v>45942</v>
      </c>
      <c r="H196" t="s">
        <v>17</v>
      </c>
      <c r="J196" s="1">
        <v>45955</v>
      </c>
      <c r="K196" s="7">
        <v>3</v>
      </c>
      <c r="L196" s="7">
        <v>4</v>
      </c>
      <c r="M196" s="7">
        <v>2</v>
      </c>
      <c r="N196" s="7">
        <v>3</v>
      </c>
    </row>
    <row r="197" spans="1:14" x14ac:dyDescent="0.5">
      <c r="A197" t="s">
        <v>223</v>
      </c>
      <c r="B197" t="s">
        <v>15</v>
      </c>
      <c r="C197" t="s">
        <v>16</v>
      </c>
      <c r="D197" s="1">
        <v>45938</v>
      </c>
      <c r="E197" s="1">
        <v>45939</v>
      </c>
      <c r="F197" s="1">
        <v>45941</v>
      </c>
      <c r="G197" s="1">
        <v>45944</v>
      </c>
      <c r="H197" t="s">
        <v>17</v>
      </c>
      <c r="J197" s="1">
        <v>45964</v>
      </c>
      <c r="K197" s="7">
        <v>1</v>
      </c>
      <c r="L197" s="7">
        <v>2</v>
      </c>
      <c r="M197" s="7">
        <v>3</v>
      </c>
      <c r="N197" s="7">
        <v>9</v>
      </c>
    </row>
    <row r="198" spans="1:14" x14ac:dyDescent="0.5">
      <c r="A198" t="s">
        <v>224</v>
      </c>
      <c r="B198" t="s">
        <v>19</v>
      </c>
      <c r="C198" t="s">
        <v>30</v>
      </c>
      <c r="D198" s="1">
        <v>45934</v>
      </c>
      <c r="E198" s="1">
        <v>45938</v>
      </c>
      <c r="F198" s="1">
        <v>45943</v>
      </c>
      <c r="G198" s="1">
        <v>45946</v>
      </c>
      <c r="H198" t="s">
        <v>17</v>
      </c>
      <c r="J198" s="1">
        <v>45962</v>
      </c>
      <c r="K198" s="7">
        <v>4</v>
      </c>
      <c r="L198" s="7">
        <v>5</v>
      </c>
      <c r="M198" s="7">
        <v>3</v>
      </c>
      <c r="N198" s="7">
        <v>10</v>
      </c>
    </row>
    <row r="199" spans="1:14" ht="36" x14ac:dyDescent="0.5">
      <c r="A199" t="s">
        <v>225</v>
      </c>
      <c r="B199" t="s">
        <v>15</v>
      </c>
      <c r="C199" t="s">
        <v>22</v>
      </c>
      <c r="D199" s="1">
        <v>45948</v>
      </c>
      <c r="H199" t="s">
        <v>23</v>
      </c>
      <c r="I199" s="2" t="s">
        <v>33</v>
      </c>
    </row>
    <row r="200" spans="1:14" x14ac:dyDescent="0.5">
      <c r="A200" t="s">
        <v>226</v>
      </c>
      <c r="B200" t="s">
        <v>15</v>
      </c>
      <c r="C200" t="s">
        <v>16</v>
      </c>
      <c r="D200" s="1">
        <v>45955</v>
      </c>
      <c r="E200" s="1">
        <v>45956</v>
      </c>
      <c r="F200" s="1">
        <v>45960</v>
      </c>
      <c r="G200" s="1">
        <v>45967</v>
      </c>
      <c r="H200" t="s">
        <v>17</v>
      </c>
      <c r="J200" s="1">
        <v>45983</v>
      </c>
      <c r="K200" s="7">
        <v>1</v>
      </c>
      <c r="L200" s="7">
        <v>4</v>
      </c>
      <c r="M200" s="7">
        <v>7</v>
      </c>
      <c r="N200" s="7">
        <v>8</v>
      </c>
    </row>
    <row r="201" spans="1:14" ht="36" x14ac:dyDescent="0.5">
      <c r="A201" t="s">
        <v>227</v>
      </c>
      <c r="B201" t="s">
        <v>15</v>
      </c>
      <c r="C201" t="s">
        <v>22</v>
      </c>
      <c r="D201" s="1">
        <v>45944</v>
      </c>
      <c r="H201" t="s">
        <v>23</v>
      </c>
      <c r="I201" s="2" t="s">
        <v>26</v>
      </c>
    </row>
    <row r="202" spans="1:14" x14ac:dyDescent="0.5">
      <c r="A202" t="s">
        <v>228</v>
      </c>
      <c r="B202" t="s">
        <v>32</v>
      </c>
      <c r="C202" t="s">
        <v>30</v>
      </c>
      <c r="D202" s="1">
        <v>45950</v>
      </c>
      <c r="E202" s="1">
        <v>45953</v>
      </c>
      <c r="F202" s="1">
        <v>45956</v>
      </c>
      <c r="G202" s="1">
        <v>45962</v>
      </c>
      <c r="H202" t="s">
        <v>17</v>
      </c>
      <c r="J202" s="1">
        <v>45985</v>
      </c>
      <c r="K202" s="7">
        <v>3</v>
      </c>
      <c r="L202" s="7">
        <v>3</v>
      </c>
      <c r="M202" s="7">
        <v>6</v>
      </c>
      <c r="N202" s="7">
        <v>6</v>
      </c>
    </row>
    <row r="203" spans="1:14" x14ac:dyDescent="0.5">
      <c r="A203" t="s">
        <v>229</v>
      </c>
      <c r="B203" t="s">
        <v>19</v>
      </c>
      <c r="C203" t="s">
        <v>30</v>
      </c>
      <c r="D203" s="1">
        <v>45950</v>
      </c>
      <c r="E203" s="1">
        <v>45952</v>
      </c>
      <c r="F203" s="1">
        <v>45954</v>
      </c>
      <c r="G203" s="1">
        <v>45961</v>
      </c>
      <c r="H203" t="s">
        <v>17</v>
      </c>
      <c r="J203" s="1">
        <v>45988</v>
      </c>
      <c r="K203" s="7">
        <v>2</v>
      </c>
      <c r="L203" s="7">
        <v>2</v>
      </c>
      <c r="M203" s="7">
        <v>7</v>
      </c>
      <c r="N203" s="7">
        <v>2</v>
      </c>
    </row>
    <row r="204" spans="1:14" x14ac:dyDescent="0.5">
      <c r="A204" t="s">
        <v>230</v>
      </c>
      <c r="B204" t="s">
        <v>19</v>
      </c>
      <c r="C204" t="s">
        <v>30</v>
      </c>
      <c r="D204" s="1">
        <v>45956</v>
      </c>
      <c r="E204" s="1">
        <v>45961</v>
      </c>
      <c r="F204" s="1">
        <v>45962</v>
      </c>
      <c r="G204" s="1">
        <v>45966</v>
      </c>
      <c r="H204" t="s">
        <v>17</v>
      </c>
      <c r="J204" s="1">
        <v>45993</v>
      </c>
      <c r="K204" s="7">
        <v>5</v>
      </c>
      <c r="L204" s="7">
        <v>1</v>
      </c>
      <c r="M204" s="7">
        <v>4</v>
      </c>
      <c r="N204" s="7">
        <v>2</v>
      </c>
    </row>
    <row r="205" spans="1:14" x14ac:dyDescent="0.5">
      <c r="A205" t="s">
        <v>231</v>
      </c>
      <c r="B205" t="s">
        <v>19</v>
      </c>
      <c r="C205" t="s">
        <v>16</v>
      </c>
      <c r="D205" s="1">
        <v>45950</v>
      </c>
      <c r="E205" s="1">
        <v>45954</v>
      </c>
      <c r="F205" s="1">
        <v>45957</v>
      </c>
      <c r="G205" s="1">
        <v>45964</v>
      </c>
      <c r="H205" t="s">
        <v>17</v>
      </c>
      <c r="J205" s="1">
        <v>45982</v>
      </c>
      <c r="K205" s="7">
        <v>4</v>
      </c>
      <c r="L205" s="7">
        <v>3</v>
      </c>
      <c r="M205" s="7">
        <v>7</v>
      </c>
      <c r="N205" s="7">
        <v>9</v>
      </c>
    </row>
    <row r="206" spans="1:14" ht="36" x14ac:dyDescent="0.5">
      <c r="A206" t="s">
        <v>232</v>
      </c>
      <c r="B206" t="s">
        <v>15</v>
      </c>
      <c r="C206" t="s">
        <v>22</v>
      </c>
      <c r="D206" s="1">
        <v>45938</v>
      </c>
      <c r="H206" t="s">
        <v>23</v>
      </c>
      <c r="I206" s="2" t="s">
        <v>63</v>
      </c>
    </row>
    <row r="207" spans="1:14" x14ac:dyDescent="0.5">
      <c r="A207" t="s">
        <v>233</v>
      </c>
      <c r="B207" t="s">
        <v>19</v>
      </c>
      <c r="C207" t="s">
        <v>30</v>
      </c>
      <c r="D207" s="1">
        <v>45955</v>
      </c>
      <c r="E207" s="1">
        <v>45958</v>
      </c>
      <c r="F207" s="1">
        <v>45960</v>
      </c>
      <c r="G207" s="1">
        <v>45966</v>
      </c>
      <c r="H207" t="s">
        <v>17</v>
      </c>
      <c r="J207" s="1">
        <v>45985</v>
      </c>
      <c r="K207" s="7">
        <v>3</v>
      </c>
      <c r="L207" s="7">
        <v>2</v>
      </c>
      <c r="M207" s="7">
        <v>6</v>
      </c>
      <c r="N207" s="7">
        <v>2</v>
      </c>
    </row>
    <row r="208" spans="1:14" ht="36" x14ac:dyDescent="0.5">
      <c r="A208" t="s">
        <v>234</v>
      </c>
      <c r="B208" t="s">
        <v>19</v>
      </c>
      <c r="C208" t="s">
        <v>22</v>
      </c>
      <c r="D208" s="1">
        <v>45947</v>
      </c>
      <c r="H208" t="s">
        <v>23</v>
      </c>
      <c r="I208" s="2" t="s">
        <v>63</v>
      </c>
    </row>
    <row r="209" spans="1:14" x14ac:dyDescent="0.5">
      <c r="A209" t="s">
        <v>235</v>
      </c>
      <c r="B209" t="s">
        <v>15</v>
      </c>
      <c r="C209" t="s">
        <v>16</v>
      </c>
      <c r="D209" s="1">
        <v>45943</v>
      </c>
      <c r="E209" s="1">
        <v>45944</v>
      </c>
      <c r="F209" s="1">
        <v>45948</v>
      </c>
      <c r="G209" s="1">
        <v>45955</v>
      </c>
      <c r="H209" t="s">
        <v>17</v>
      </c>
      <c r="J209" s="1">
        <v>45974</v>
      </c>
      <c r="K209" s="7">
        <v>1</v>
      </c>
      <c r="L209" s="7">
        <v>4</v>
      </c>
      <c r="M209" s="7">
        <v>7</v>
      </c>
      <c r="N209" s="7">
        <v>7</v>
      </c>
    </row>
    <row r="210" spans="1:14" x14ac:dyDescent="0.5">
      <c r="A210" t="s">
        <v>236</v>
      </c>
      <c r="B210" t="s">
        <v>21</v>
      </c>
      <c r="C210" t="s">
        <v>22</v>
      </c>
      <c r="D210" s="1">
        <v>45945</v>
      </c>
      <c r="H210" t="s">
        <v>23</v>
      </c>
      <c r="I210" s="2" t="s">
        <v>101</v>
      </c>
    </row>
    <row r="211" spans="1:14" x14ac:dyDescent="0.5">
      <c r="A211" t="s">
        <v>237</v>
      </c>
      <c r="B211" t="s">
        <v>15</v>
      </c>
      <c r="C211" t="s">
        <v>30</v>
      </c>
      <c r="D211" s="1">
        <v>45960</v>
      </c>
      <c r="E211" s="1">
        <v>45964</v>
      </c>
      <c r="F211" s="1">
        <v>45967</v>
      </c>
      <c r="G211" s="1">
        <v>45972</v>
      </c>
      <c r="H211" t="s">
        <v>17</v>
      </c>
      <c r="J211" s="1">
        <v>45989</v>
      </c>
      <c r="K211" s="7">
        <v>4</v>
      </c>
      <c r="L211" s="7">
        <v>3</v>
      </c>
      <c r="M211" s="7">
        <v>5</v>
      </c>
      <c r="N211" s="7">
        <v>9</v>
      </c>
    </row>
    <row r="212" spans="1:14" x14ac:dyDescent="0.5">
      <c r="A212" t="s">
        <v>238</v>
      </c>
      <c r="B212" t="s">
        <v>19</v>
      </c>
      <c r="C212" t="s">
        <v>22</v>
      </c>
      <c r="D212" s="1">
        <v>45945</v>
      </c>
      <c r="H212" t="s">
        <v>23</v>
      </c>
      <c r="I212" s="2" t="s">
        <v>101</v>
      </c>
    </row>
    <row r="213" spans="1:14" x14ac:dyDescent="0.5">
      <c r="A213" t="s">
        <v>239</v>
      </c>
      <c r="B213" t="s">
        <v>15</v>
      </c>
      <c r="C213" t="s">
        <v>16</v>
      </c>
      <c r="D213" s="1">
        <v>45940</v>
      </c>
      <c r="E213" s="1">
        <v>45941</v>
      </c>
      <c r="F213" s="1">
        <v>45943</v>
      </c>
      <c r="G213" s="1">
        <v>45946</v>
      </c>
      <c r="H213" t="s">
        <v>23</v>
      </c>
      <c r="I213" s="2" t="s">
        <v>24</v>
      </c>
      <c r="K213" s="7">
        <v>1</v>
      </c>
      <c r="L213" s="7">
        <v>2</v>
      </c>
      <c r="M213" s="7">
        <v>3</v>
      </c>
    </row>
    <row r="214" spans="1:14" x14ac:dyDescent="0.5">
      <c r="A214" t="s">
        <v>240</v>
      </c>
      <c r="B214" t="s">
        <v>21</v>
      </c>
      <c r="C214" t="s">
        <v>30</v>
      </c>
      <c r="D214" s="1">
        <v>45958</v>
      </c>
      <c r="E214" s="1">
        <v>45960</v>
      </c>
      <c r="F214" s="1">
        <v>45961</v>
      </c>
      <c r="G214" s="1">
        <v>45967</v>
      </c>
      <c r="H214" t="s">
        <v>17</v>
      </c>
      <c r="J214" s="1">
        <v>45980</v>
      </c>
      <c r="K214" s="7">
        <v>2</v>
      </c>
      <c r="L214" s="7">
        <v>1</v>
      </c>
      <c r="M214" s="7">
        <v>6</v>
      </c>
      <c r="N214" s="7">
        <v>4</v>
      </c>
    </row>
    <row r="215" spans="1:14" x14ac:dyDescent="0.5">
      <c r="A215" t="s">
        <v>241</v>
      </c>
      <c r="B215" t="s">
        <v>15</v>
      </c>
      <c r="C215" t="s">
        <v>30</v>
      </c>
      <c r="D215" s="1">
        <v>45949</v>
      </c>
      <c r="E215" s="1">
        <v>45953</v>
      </c>
      <c r="F215" s="1">
        <v>45956</v>
      </c>
      <c r="G215" s="1">
        <v>45959</v>
      </c>
      <c r="H215" t="s">
        <v>17</v>
      </c>
      <c r="J215" s="1">
        <v>45970</v>
      </c>
      <c r="K215" s="7">
        <v>4</v>
      </c>
      <c r="L215" s="7">
        <v>3</v>
      </c>
      <c r="M215" s="7">
        <v>3</v>
      </c>
      <c r="N215" s="7">
        <v>2</v>
      </c>
    </row>
    <row r="216" spans="1:14" ht="36" x14ac:dyDescent="0.5">
      <c r="A216" t="s">
        <v>242</v>
      </c>
      <c r="B216" t="s">
        <v>19</v>
      </c>
      <c r="C216" t="s">
        <v>22</v>
      </c>
      <c r="D216" s="1">
        <v>45944</v>
      </c>
      <c r="H216" t="s">
        <v>23</v>
      </c>
      <c r="I216" s="2" t="s">
        <v>26</v>
      </c>
    </row>
    <row r="217" spans="1:14" x14ac:dyDescent="0.5">
      <c r="A217" t="s">
        <v>243</v>
      </c>
      <c r="B217" t="s">
        <v>21</v>
      </c>
      <c r="C217" t="s">
        <v>22</v>
      </c>
      <c r="D217" s="1">
        <v>45940</v>
      </c>
      <c r="H217" t="s">
        <v>23</v>
      </c>
      <c r="I217" s="2" t="s">
        <v>101</v>
      </c>
    </row>
    <row r="218" spans="1:14" x14ac:dyDescent="0.5">
      <c r="A218" t="s">
        <v>244</v>
      </c>
      <c r="B218" t="s">
        <v>32</v>
      </c>
      <c r="C218" t="s">
        <v>30</v>
      </c>
      <c r="D218" s="1">
        <v>45949</v>
      </c>
      <c r="E218" s="1">
        <v>45954</v>
      </c>
      <c r="F218" s="1">
        <v>45957</v>
      </c>
      <c r="G218" s="1">
        <v>45960</v>
      </c>
      <c r="H218" t="s">
        <v>17</v>
      </c>
      <c r="J218" s="1">
        <v>45982</v>
      </c>
      <c r="K218" s="7">
        <v>5</v>
      </c>
      <c r="L218" s="7">
        <v>3</v>
      </c>
      <c r="M218" s="7">
        <v>3</v>
      </c>
      <c r="N218" s="7">
        <v>0</v>
      </c>
    </row>
    <row r="219" spans="1:14" x14ac:dyDescent="0.5">
      <c r="A219" t="s">
        <v>245</v>
      </c>
      <c r="B219" t="s">
        <v>19</v>
      </c>
      <c r="C219" t="s">
        <v>16</v>
      </c>
      <c r="D219" s="1">
        <v>45950</v>
      </c>
      <c r="E219" s="1">
        <v>45954</v>
      </c>
      <c r="F219" s="1">
        <v>45959</v>
      </c>
      <c r="G219" s="1">
        <v>45962</v>
      </c>
      <c r="H219" t="s">
        <v>23</v>
      </c>
      <c r="I219" s="2" t="s">
        <v>101</v>
      </c>
      <c r="K219" s="7">
        <v>4</v>
      </c>
      <c r="L219" s="7">
        <v>5</v>
      </c>
      <c r="M219" s="7">
        <v>3</v>
      </c>
    </row>
    <row r="220" spans="1:14" ht="36" x14ac:dyDescent="0.5">
      <c r="A220" t="s">
        <v>246</v>
      </c>
      <c r="B220" t="s">
        <v>21</v>
      </c>
      <c r="C220" t="s">
        <v>22</v>
      </c>
      <c r="D220" s="1">
        <v>45932</v>
      </c>
      <c r="H220" t="s">
        <v>23</v>
      </c>
      <c r="I220" s="2" t="s">
        <v>26</v>
      </c>
    </row>
    <row r="221" spans="1:14" x14ac:dyDescent="0.5">
      <c r="A221" t="s">
        <v>247</v>
      </c>
      <c r="B221" t="s">
        <v>21</v>
      </c>
      <c r="C221" t="s">
        <v>22</v>
      </c>
      <c r="D221" s="1">
        <v>45950</v>
      </c>
      <c r="H221" t="s">
        <v>23</v>
      </c>
      <c r="I221" s="2" t="s">
        <v>24</v>
      </c>
    </row>
    <row r="222" spans="1:14" x14ac:dyDescent="0.5">
      <c r="A222" t="s">
        <v>248</v>
      </c>
      <c r="B222" t="s">
        <v>32</v>
      </c>
      <c r="C222" t="s">
        <v>22</v>
      </c>
      <c r="D222" s="1">
        <v>45961</v>
      </c>
      <c r="H222" t="s">
        <v>23</v>
      </c>
      <c r="I222" s="2" t="s">
        <v>101</v>
      </c>
    </row>
    <row r="223" spans="1:14" x14ac:dyDescent="0.5">
      <c r="A223" t="s">
        <v>249</v>
      </c>
      <c r="B223" t="s">
        <v>15</v>
      </c>
      <c r="C223" t="s">
        <v>16</v>
      </c>
      <c r="D223" s="1">
        <v>45954</v>
      </c>
      <c r="E223" s="1">
        <v>45959</v>
      </c>
      <c r="F223" s="1">
        <v>45961</v>
      </c>
      <c r="G223" s="1">
        <v>45963</v>
      </c>
      <c r="H223" t="s">
        <v>17</v>
      </c>
      <c r="J223" s="1">
        <v>45991</v>
      </c>
      <c r="K223" s="7">
        <v>5</v>
      </c>
      <c r="L223" s="7">
        <v>2</v>
      </c>
      <c r="M223" s="7">
        <v>2</v>
      </c>
      <c r="N223" s="7">
        <v>3</v>
      </c>
    </row>
    <row r="224" spans="1:14" x14ac:dyDescent="0.5">
      <c r="A224" t="s">
        <v>250</v>
      </c>
      <c r="B224" t="s">
        <v>15</v>
      </c>
      <c r="C224" t="s">
        <v>16</v>
      </c>
      <c r="D224" s="1">
        <v>45934</v>
      </c>
      <c r="E224" s="1">
        <v>45935</v>
      </c>
      <c r="F224" s="1">
        <v>45937</v>
      </c>
      <c r="G224" s="1">
        <v>45943</v>
      </c>
      <c r="H224" t="s">
        <v>17</v>
      </c>
      <c r="J224" s="1">
        <v>45970</v>
      </c>
      <c r="K224" s="7">
        <v>1</v>
      </c>
      <c r="L224" s="7">
        <v>2</v>
      </c>
      <c r="M224" s="7">
        <v>6</v>
      </c>
      <c r="N224" s="7">
        <v>1</v>
      </c>
    </row>
    <row r="225" spans="1:14" x14ac:dyDescent="0.5">
      <c r="A225" t="s">
        <v>251</v>
      </c>
      <c r="B225" t="s">
        <v>19</v>
      </c>
      <c r="C225" t="s">
        <v>16</v>
      </c>
      <c r="D225" s="1">
        <v>45961</v>
      </c>
      <c r="E225" s="1">
        <v>45965</v>
      </c>
      <c r="F225" s="1">
        <v>45970</v>
      </c>
      <c r="G225" s="1">
        <v>45974</v>
      </c>
      <c r="H225" t="s">
        <v>17</v>
      </c>
      <c r="J225" s="1">
        <v>45999</v>
      </c>
      <c r="K225" s="7">
        <v>4</v>
      </c>
      <c r="L225" s="7">
        <v>5</v>
      </c>
      <c r="M225" s="7">
        <v>4</v>
      </c>
      <c r="N225" s="7">
        <v>7</v>
      </c>
    </row>
    <row r="226" spans="1:14" x14ac:dyDescent="0.5">
      <c r="A226" t="s">
        <v>252</v>
      </c>
      <c r="B226" t="s">
        <v>32</v>
      </c>
      <c r="C226" t="s">
        <v>16</v>
      </c>
      <c r="D226" s="1">
        <v>45955</v>
      </c>
      <c r="E226" s="1">
        <v>45958</v>
      </c>
      <c r="F226" s="1">
        <v>45962</v>
      </c>
      <c r="G226" s="1">
        <v>45968</v>
      </c>
      <c r="H226" t="s">
        <v>17</v>
      </c>
      <c r="J226" s="1">
        <v>45982</v>
      </c>
      <c r="K226" s="7">
        <v>3</v>
      </c>
      <c r="L226" s="7">
        <v>4</v>
      </c>
      <c r="M226" s="7">
        <v>6</v>
      </c>
      <c r="N226" s="7">
        <v>3</v>
      </c>
    </row>
    <row r="227" spans="1:14" x14ac:dyDescent="0.5">
      <c r="A227" t="s">
        <v>253</v>
      </c>
      <c r="B227" t="s">
        <v>15</v>
      </c>
      <c r="C227" t="s">
        <v>16</v>
      </c>
      <c r="D227" s="1">
        <v>45937</v>
      </c>
      <c r="E227" s="1">
        <v>45940</v>
      </c>
      <c r="F227" s="1">
        <v>45944</v>
      </c>
      <c r="G227" s="1">
        <v>45948</v>
      </c>
      <c r="H227" t="s">
        <v>23</v>
      </c>
      <c r="I227" s="2" t="s">
        <v>24</v>
      </c>
      <c r="K227" s="7">
        <v>3</v>
      </c>
      <c r="L227" s="7">
        <v>4</v>
      </c>
      <c r="M227" s="7">
        <v>4</v>
      </c>
    </row>
    <row r="228" spans="1:14" ht="36" x14ac:dyDescent="0.5">
      <c r="A228" t="s">
        <v>254</v>
      </c>
      <c r="B228" t="s">
        <v>32</v>
      </c>
      <c r="C228" t="s">
        <v>16</v>
      </c>
      <c r="D228" s="1">
        <v>45951</v>
      </c>
      <c r="E228" s="1">
        <v>45953</v>
      </c>
      <c r="F228" s="1">
        <v>45958</v>
      </c>
      <c r="G228" s="1">
        <v>45964</v>
      </c>
      <c r="H228" t="s">
        <v>23</v>
      </c>
      <c r="I228" s="2" t="s">
        <v>33</v>
      </c>
      <c r="K228" s="7">
        <v>2</v>
      </c>
      <c r="L228" s="7">
        <v>5</v>
      </c>
      <c r="M228" s="7">
        <v>6</v>
      </c>
    </row>
    <row r="229" spans="1:14" x14ac:dyDescent="0.5">
      <c r="A229" t="s">
        <v>255</v>
      </c>
      <c r="B229" t="s">
        <v>15</v>
      </c>
      <c r="C229" t="s">
        <v>30</v>
      </c>
      <c r="D229" s="1">
        <v>45937</v>
      </c>
      <c r="E229" s="1">
        <v>45940</v>
      </c>
      <c r="F229" s="1">
        <v>45943</v>
      </c>
      <c r="G229" s="1">
        <v>45949</v>
      </c>
      <c r="H229" t="s">
        <v>17</v>
      </c>
      <c r="J229" s="1">
        <v>45960</v>
      </c>
      <c r="K229" s="7">
        <v>3</v>
      </c>
      <c r="L229" s="7">
        <v>3</v>
      </c>
      <c r="M229" s="7">
        <v>6</v>
      </c>
      <c r="N229" s="7">
        <v>4</v>
      </c>
    </row>
    <row r="230" spans="1:14" x14ac:dyDescent="0.5">
      <c r="A230" t="s">
        <v>256</v>
      </c>
      <c r="B230" t="s">
        <v>21</v>
      </c>
      <c r="C230" t="s">
        <v>22</v>
      </c>
      <c r="D230" s="1">
        <v>45939</v>
      </c>
      <c r="H230" t="s">
        <v>23</v>
      </c>
      <c r="I230" s="2" t="s">
        <v>24</v>
      </c>
    </row>
    <row r="231" spans="1:14" x14ac:dyDescent="0.5">
      <c r="A231" t="s">
        <v>257</v>
      </c>
      <c r="B231" t="s">
        <v>15</v>
      </c>
      <c r="C231" t="s">
        <v>16</v>
      </c>
      <c r="D231" s="1">
        <v>45952</v>
      </c>
      <c r="E231" s="1">
        <v>45954</v>
      </c>
      <c r="F231" s="1">
        <v>45955</v>
      </c>
      <c r="G231" s="1">
        <v>45958</v>
      </c>
      <c r="H231" t="s">
        <v>17</v>
      </c>
      <c r="J231" s="1">
        <v>45979</v>
      </c>
      <c r="K231" s="7">
        <v>2</v>
      </c>
      <c r="L231" s="7">
        <v>1</v>
      </c>
      <c r="M231" s="7">
        <v>3</v>
      </c>
      <c r="N231" s="7">
        <v>2</v>
      </c>
    </row>
    <row r="232" spans="1:14" x14ac:dyDescent="0.5">
      <c r="A232" t="s">
        <v>258</v>
      </c>
      <c r="B232" t="s">
        <v>32</v>
      </c>
      <c r="C232" t="s">
        <v>16</v>
      </c>
      <c r="D232" s="1">
        <v>45933</v>
      </c>
      <c r="E232" s="1">
        <v>45934</v>
      </c>
      <c r="F232" s="1">
        <v>45938</v>
      </c>
      <c r="G232" s="1">
        <v>45942</v>
      </c>
      <c r="H232" t="s">
        <v>17</v>
      </c>
      <c r="J232" s="1">
        <v>45952</v>
      </c>
      <c r="K232" s="7">
        <v>1</v>
      </c>
      <c r="L232" s="7">
        <v>4</v>
      </c>
      <c r="M232" s="7">
        <v>4</v>
      </c>
      <c r="N232" s="7">
        <v>2</v>
      </c>
    </row>
    <row r="233" spans="1:14" x14ac:dyDescent="0.5">
      <c r="A233" t="s">
        <v>259</v>
      </c>
      <c r="B233" t="s">
        <v>21</v>
      </c>
      <c r="C233" t="s">
        <v>16</v>
      </c>
      <c r="D233" s="1">
        <v>45936</v>
      </c>
      <c r="E233" s="1">
        <v>45941</v>
      </c>
      <c r="F233" s="1">
        <v>45942</v>
      </c>
      <c r="G233" s="1">
        <v>45949</v>
      </c>
      <c r="H233" t="s">
        <v>17</v>
      </c>
      <c r="J233" s="1">
        <v>45972</v>
      </c>
      <c r="K233" s="7">
        <v>5</v>
      </c>
      <c r="L233" s="7">
        <v>1</v>
      </c>
      <c r="M233" s="7">
        <v>7</v>
      </c>
      <c r="N233" s="7">
        <v>8</v>
      </c>
    </row>
    <row r="234" spans="1:14" ht="36" x14ac:dyDescent="0.5">
      <c r="A234" t="s">
        <v>260</v>
      </c>
      <c r="B234" t="s">
        <v>21</v>
      </c>
      <c r="C234" t="s">
        <v>16</v>
      </c>
      <c r="D234" s="1">
        <v>45938</v>
      </c>
      <c r="E234" s="1">
        <v>45939</v>
      </c>
      <c r="F234" s="1">
        <v>45941</v>
      </c>
      <c r="G234" s="1">
        <v>45945</v>
      </c>
      <c r="H234" t="s">
        <v>23</v>
      </c>
      <c r="I234" s="2" t="s">
        <v>63</v>
      </c>
      <c r="K234" s="7">
        <v>1</v>
      </c>
      <c r="L234" s="7">
        <v>2</v>
      </c>
      <c r="M234" s="7">
        <v>4</v>
      </c>
    </row>
    <row r="235" spans="1:14" x14ac:dyDescent="0.5">
      <c r="A235" t="s">
        <v>261</v>
      </c>
      <c r="B235" t="s">
        <v>21</v>
      </c>
      <c r="C235" t="s">
        <v>30</v>
      </c>
      <c r="D235" s="1">
        <v>45936</v>
      </c>
      <c r="E235" s="1">
        <v>45941</v>
      </c>
      <c r="F235" s="1">
        <v>45943</v>
      </c>
      <c r="G235" s="1">
        <v>45947</v>
      </c>
      <c r="H235" t="s">
        <v>17</v>
      </c>
      <c r="J235" s="1">
        <v>45959</v>
      </c>
      <c r="K235" s="7">
        <v>5</v>
      </c>
      <c r="L235" s="7">
        <v>2</v>
      </c>
      <c r="M235" s="7">
        <v>4</v>
      </c>
      <c r="N235" s="7">
        <v>9</v>
      </c>
    </row>
    <row r="236" spans="1:14" x14ac:dyDescent="0.5">
      <c r="A236" t="s">
        <v>262</v>
      </c>
      <c r="B236" t="s">
        <v>32</v>
      </c>
      <c r="C236" t="s">
        <v>30</v>
      </c>
      <c r="D236" s="1">
        <v>45948</v>
      </c>
      <c r="E236" s="1">
        <v>45953</v>
      </c>
      <c r="F236" s="1">
        <v>45957</v>
      </c>
      <c r="G236" s="1">
        <v>45963</v>
      </c>
      <c r="H236" t="s">
        <v>17</v>
      </c>
      <c r="J236" s="1">
        <v>45982</v>
      </c>
      <c r="K236" s="7">
        <v>5</v>
      </c>
      <c r="L236" s="7">
        <v>4</v>
      </c>
      <c r="M236" s="7">
        <v>6</v>
      </c>
      <c r="N236" s="7">
        <v>4</v>
      </c>
    </row>
    <row r="237" spans="1:14" x14ac:dyDescent="0.5">
      <c r="A237" t="s">
        <v>263</v>
      </c>
      <c r="B237" t="s">
        <v>19</v>
      </c>
      <c r="C237" t="s">
        <v>30</v>
      </c>
      <c r="D237" s="1">
        <v>45933</v>
      </c>
      <c r="E237" s="1">
        <v>45935</v>
      </c>
      <c r="F237" s="1">
        <v>45938</v>
      </c>
      <c r="G237" s="1">
        <v>45942</v>
      </c>
      <c r="H237" t="s">
        <v>17</v>
      </c>
      <c r="J237" s="1">
        <v>45972</v>
      </c>
      <c r="K237" s="7">
        <v>2</v>
      </c>
      <c r="L237" s="7">
        <v>3</v>
      </c>
      <c r="M237" s="7">
        <v>4</v>
      </c>
      <c r="N237" s="7">
        <v>7</v>
      </c>
    </row>
    <row r="238" spans="1:14" x14ac:dyDescent="0.5">
      <c r="A238" t="s">
        <v>264</v>
      </c>
      <c r="B238" t="s">
        <v>19</v>
      </c>
      <c r="C238" t="s">
        <v>30</v>
      </c>
      <c r="D238" s="1">
        <v>45936</v>
      </c>
      <c r="E238" s="1">
        <v>45939</v>
      </c>
      <c r="F238" s="1">
        <v>45941</v>
      </c>
      <c r="G238" s="1">
        <v>45947</v>
      </c>
      <c r="H238" t="s">
        <v>17</v>
      </c>
      <c r="J238" s="1">
        <v>45976</v>
      </c>
      <c r="K238" s="7">
        <v>3</v>
      </c>
      <c r="L238" s="7">
        <v>2</v>
      </c>
      <c r="M238" s="7">
        <v>6</v>
      </c>
      <c r="N238" s="7">
        <v>7</v>
      </c>
    </row>
    <row r="239" spans="1:14" x14ac:dyDescent="0.5">
      <c r="A239" t="s">
        <v>265</v>
      </c>
      <c r="B239" t="s">
        <v>19</v>
      </c>
      <c r="C239" t="s">
        <v>16</v>
      </c>
      <c r="D239" s="1">
        <v>45931</v>
      </c>
      <c r="E239" s="1">
        <v>45934</v>
      </c>
      <c r="F239" s="1">
        <v>45935</v>
      </c>
      <c r="G239" s="1">
        <v>45942</v>
      </c>
      <c r="H239" t="s">
        <v>17</v>
      </c>
      <c r="J239" s="1">
        <v>45967</v>
      </c>
      <c r="K239" s="7">
        <v>3</v>
      </c>
      <c r="L239" s="7">
        <v>1</v>
      </c>
      <c r="M239" s="7">
        <v>7</v>
      </c>
      <c r="N239" s="7">
        <v>0</v>
      </c>
    </row>
    <row r="240" spans="1:14" x14ac:dyDescent="0.5">
      <c r="A240" t="s">
        <v>266</v>
      </c>
      <c r="B240" t="s">
        <v>32</v>
      </c>
      <c r="C240" t="s">
        <v>16</v>
      </c>
      <c r="D240" s="1">
        <v>45944</v>
      </c>
      <c r="E240" s="1">
        <v>45946</v>
      </c>
      <c r="F240" s="1">
        <v>45949</v>
      </c>
      <c r="G240" s="1">
        <v>45951</v>
      </c>
      <c r="H240" t="s">
        <v>17</v>
      </c>
      <c r="J240" s="1">
        <v>45967</v>
      </c>
      <c r="K240" s="7">
        <v>2</v>
      </c>
      <c r="L240" s="7">
        <v>3</v>
      </c>
      <c r="M240" s="7">
        <v>2</v>
      </c>
      <c r="N240" s="7">
        <v>1</v>
      </c>
    </row>
    <row r="241" spans="1:14" ht="36" x14ac:dyDescent="0.5">
      <c r="A241" t="s">
        <v>267</v>
      </c>
      <c r="B241" t="s">
        <v>21</v>
      </c>
      <c r="C241" t="s">
        <v>30</v>
      </c>
      <c r="D241" s="1">
        <v>45945</v>
      </c>
      <c r="E241" s="1">
        <v>45947</v>
      </c>
      <c r="F241" s="1">
        <v>45951</v>
      </c>
      <c r="G241" s="1">
        <v>45954</v>
      </c>
      <c r="H241" t="s">
        <v>23</v>
      </c>
      <c r="I241" s="2" t="s">
        <v>63</v>
      </c>
      <c r="K241" s="7">
        <v>2</v>
      </c>
      <c r="L241" s="7">
        <v>4</v>
      </c>
      <c r="M241" s="7">
        <v>3</v>
      </c>
    </row>
    <row r="242" spans="1:14" x14ac:dyDescent="0.5">
      <c r="A242" t="s">
        <v>268</v>
      </c>
      <c r="B242" t="s">
        <v>19</v>
      </c>
      <c r="C242" t="s">
        <v>16</v>
      </c>
      <c r="D242" s="1">
        <v>45953</v>
      </c>
      <c r="E242" s="1">
        <v>45954</v>
      </c>
      <c r="F242" s="1">
        <v>45956</v>
      </c>
      <c r="G242" s="1">
        <v>45961</v>
      </c>
      <c r="H242" t="s">
        <v>17</v>
      </c>
      <c r="J242" s="1">
        <v>45974</v>
      </c>
      <c r="K242" s="7">
        <v>1</v>
      </c>
      <c r="L242" s="7">
        <v>2</v>
      </c>
      <c r="M242" s="7">
        <v>5</v>
      </c>
      <c r="N242" s="7">
        <v>9</v>
      </c>
    </row>
    <row r="243" spans="1:14" x14ac:dyDescent="0.5">
      <c r="A243" t="s">
        <v>269</v>
      </c>
      <c r="B243" t="s">
        <v>32</v>
      </c>
      <c r="C243" t="s">
        <v>30</v>
      </c>
      <c r="D243" s="1">
        <v>45950</v>
      </c>
      <c r="E243" s="1">
        <v>45952</v>
      </c>
      <c r="F243" s="1">
        <v>45956</v>
      </c>
      <c r="G243" s="1">
        <v>45958</v>
      </c>
      <c r="H243" t="s">
        <v>17</v>
      </c>
      <c r="J243" s="1">
        <v>45968</v>
      </c>
      <c r="K243" s="7">
        <v>2</v>
      </c>
      <c r="L243" s="7">
        <v>4</v>
      </c>
      <c r="M243" s="7">
        <v>2</v>
      </c>
      <c r="N243" s="7">
        <v>1</v>
      </c>
    </row>
    <row r="244" spans="1:14" x14ac:dyDescent="0.5">
      <c r="A244" t="s">
        <v>270</v>
      </c>
      <c r="B244" t="s">
        <v>19</v>
      </c>
      <c r="C244" t="s">
        <v>22</v>
      </c>
      <c r="D244" s="1">
        <v>45946</v>
      </c>
      <c r="H244" t="s">
        <v>23</v>
      </c>
      <c r="I244" s="2" t="s">
        <v>24</v>
      </c>
    </row>
    <row r="245" spans="1:14" ht="36" x14ac:dyDescent="0.5">
      <c r="A245" t="s">
        <v>271</v>
      </c>
      <c r="B245" t="s">
        <v>15</v>
      </c>
      <c r="C245" t="s">
        <v>22</v>
      </c>
      <c r="D245" s="1">
        <v>45940</v>
      </c>
      <c r="H245" t="s">
        <v>23</v>
      </c>
      <c r="I245" s="2" t="s">
        <v>63</v>
      </c>
    </row>
    <row r="246" spans="1:14" x14ac:dyDescent="0.5">
      <c r="A246" t="s">
        <v>272</v>
      </c>
      <c r="B246" t="s">
        <v>19</v>
      </c>
      <c r="C246" t="s">
        <v>30</v>
      </c>
      <c r="D246" s="1">
        <v>45932</v>
      </c>
      <c r="E246" s="1">
        <v>45935</v>
      </c>
      <c r="F246" s="1">
        <v>45938</v>
      </c>
      <c r="G246" s="1">
        <v>45942</v>
      </c>
      <c r="H246" t="s">
        <v>17</v>
      </c>
      <c r="J246" s="1">
        <v>45958</v>
      </c>
      <c r="K246" s="7">
        <v>3</v>
      </c>
      <c r="L246" s="7">
        <v>3</v>
      </c>
      <c r="M246" s="7">
        <v>4</v>
      </c>
      <c r="N246" s="7">
        <v>6</v>
      </c>
    </row>
    <row r="247" spans="1:14" ht="36" x14ac:dyDescent="0.5">
      <c r="A247" t="s">
        <v>273</v>
      </c>
      <c r="B247" t="s">
        <v>19</v>
      </c>
      <c r="C247" t="s">
        <v>16</v>
      </c>
      <c r="D247" s="1">
        <v>45938</v>
      </c>
      <c r="E247" s="1">
        <v>45940</v>
      </c>
      <c r="F247" s="1">
        <v>45943</v>
      </c>
      <c r="G247" s="1">
        <v>45950</v>
      </c>
      <c r="H247" t="s">
        <v>23</v>
      </c>
      <c r="I247" s="2" t="s">
        <v>33</v>
      </c>
      <c r="K247" s="7">
        <v>2</v>
      </c>
      <c r="L247" s="7">
        <v>3</v>
      </c>
      <c r="M247" s="7">
        <v>7</v>
      </c>
    </row>
    <row r="248" spans="1:14" x14ac:dyDescent="0.5">
      <c r="A248" t="s">
        <v>274</v>
      </c>
      <c r="B248" t="s">
        <v>21</v>
      </c>
      <c r="C248" t="s">
        <v>30</v>
      </c>
      <c r="D248" s="1">
        <v>45940</v>
      </c>
      <c r="E248" s="1">
        <v>45942</v>
      </c>
      <c r="F248" s="1">
        <v>45945</v>
      </c>
      <c r="G248" s="1">
        <v>45948</v>
      </c>
      <c r="H248" t="s">
        <v>17</v>
      </c>
      <c r="J248" s="1">
        <v>45963</v>
      </c>
      <c r="K248" s="7">
        <v>2</v>
      </c>
      <c r="L248" s="7">
        <v>3</v>
      </c>
      <c r="M248" s="7">
        <v>3</v>
      </c>
      <c r="N248" s="7">
        <v>6</v>
      </c>
    </row>
    <row r="249" spans="1:14" x14ac:dyDescent="0.5">
      <c r="A249" t="s">
        <v>275</v>
      </c>
      <c r="B249" t="s">
        <v>32</v>
      </c>
      <c r="C249" t="s">
        <v>16</v>
      </c>
      <c r="D249" s="1">
        <v>45953</v>
      </c>
      <c r="E249" s="1">
        <v>45958</v>
      </c>
      <c r="F249" s="1">
        <v>45963</v>
      </c>
      <c r="G249" s="1">
        <v>45970</v>
      </c>
      <c r="H249" t="s">
        <v>17</v>
      </c>
      <c r="J249" s="1">
        <v>46000</v>
      </c>
      <c r="K249" s="7">
        <v>5</v>
      </c>
      <c r="L249" s="7">
        <v>5</v>
      </c>
      <c r="M249" s="7">
        <v>7</v>
      </c>
      <c r="N249" s="7">
        <v>4</v>
      </c>
    </row>
    <row r="250" spans="1:14" x14ac:dyDescent="0.5">
      <c r="A250" t="s">
        <v>276</v>
      </c>
      <c r="B250" t="s">
        <v>21</v>
      </c>
      <c r="C250" t="s">
        <v>16</v>
      </c>
      <c r="D250" s="1">
        <v>45940</v>
      </c>
      <c r="E250" s="1">
        <v>45942</v>
      </c>
      <c r="F250" s="1">
        <v>45947</v>
      </c>
      <c r="G250" s="1">
        <v>45950</v>
      </c>
      <c r="H250" t="s">
        <v>17</v>
      </c>
      <c r="J250" s="1">
        <v>45969</v>
      </c>
      <c r="K250" s="7">
        <v>2</v>
      </c>
      <c r="L250" s="7">
        <v>5</v>
      </c>
      <c r="M250" s="7">
        <v>3</v>
      </c>
      <c r="N250" s="7">
        <v>7</v>
      </c>
    </row>
    <row r="251" spans="1:14" x14ac:dyDescent="0.5">
      <c r="A251" t="s">
        <v>277</v>
      </c>
      <c r="B251" t="s">
        <v>21</v>
      </c>
      <c r="C251" t="s">
        <v>30</v>
      </c>
      <c r="D251" s="1">
        <v>45953</v>
      </c>
      <c r="E251" s="1">
        <v>45954</v>
      </c>
      <c r="F251" s="1">
        <v>45955</v>
      </c>
      <c r="G251" s="1">
        <v>45958</v>
      </c>
      <c r="H251" t="s">
        <v>17</v>
      </c>
      <c r="J251" s="1">
        <v>45970</v>
      </c>
      <c r="K251" s="7">
        <v>1</v>
      </c>
      <c r="L251" s="7">
        <v>1</v>
      </c>
      <c r="M251" s="7">
        <v>3</v>
      </c>
      <c r="N251" s="7">
        <v>3</v>
      </c>
    </row>
    <row r="252" spans="1:14" x14ac:dyDescent="0.5">
      <c r="A252" t="s">
        <v>278</v>
      </c>
      <c r="B252" t="s">
        <v>21</v>
      </c>
      <c r="C252" t="s">
        <v>16</v>
      </c>
      <c r="D252" s="1">
        <v>45958</v>
      </c>
      <c r="E252" s="1">
        <v>45960</v>
      </c>
      <c r="F252" s="1">
        <v>45963</v>
      </c>
      <c r="G252" s="1">
        <v>45966</v>
      </c>
      <c r="H252" t="s">
        <v>17</v>
      </c>
      <c r="J252" s="1">
        <v>45991</v>
      </c>
      <c r="K252" s="7">
        <v>2</v>
      </c>
      <c r="L252" s="7">
        <v>3</v>
      </c>
      <c r="M252" s="7">
        <v>3</v>
      </c>
      <c r="N252" s="7">
        <v>2</v>
      </c>
    </row>
    <row r="253" spans="1:14" x14ac:dyDescent="0.5">
      <c r="A253" t="s">
        <v>279</v>
      </c>
      <c r="B253" t="s">
        <v>21</v>
      </c>
      <c r="C253" t="s">
        <v>30</v>
      </c>
      <c r="D253" s="1">
        <v>45945</v>
      </c>
      <c r="E253" s="1">
        <v>45949</v>
      </c>
      <c r="F253" s="1">
        <v>45952</v>
      </c>
      <c r="G253" s="1">
        <v>45959</v>
      </c>
      <c r="H253" t="s">
        <v>17</v>
      </c>
      <c r="J253" s="1">
        <v>45972</v>
      </c>
      <c r="K253" s="7">
        <v>4</v>
      </c>
      <c r="L253" s="7">
        <v>3</v>
      </c>
      <c r="M253" s="7">
        <v>7</v>
      </c>
      <c r="N253" s="7">
        <v>6</v>
      </c>
    </row>
    <row r="254" spans="1:14" x14ac:dyDescent="0.5">
      <c r="A254" t="s">
        <v>280</v>
      </c>
      <c r="B254" t="s">
        <v>21</v>
      </c>
      <c r="C254" t="s">
        <v>30</v>
      </c>
      <c r="D254" s="1">
        <v>45933</v>
      </c>
      <c r="E254" s="1">
        <v>45937</v>
      </c>
      <c r="F254" s="1">
        <v>45939</v>
      </c>
      <c r="G254" s="1">
        <v>45943</v>
      </c>
      <c r="H254" t="s">
        <v>17</v>
      </c>
      <c r="J254" s="1">
        <v>45962</v>
      </c>
      <c r="K254" s="7">
        <v>4</v>
      </c>
      <c r="L254" s="7">
        <v>2</v>
      </c>
      <c r="M254" s="7">
        <v>4</v>
      </c>
      <c r="N254" s="7">
        <v>10</v>
      </c>
    </row>
    <row r="255" spans="1:14" x14ac:dyDescent="0.5">
      <c r="A255" t="s">
        <v>281</v>
      </c>
      <c r="B255" t="s">
        <v>19</v>
      </c>
      <c r="C255" t="s">
        <v>16</v>
      </c>
      <c r="D255" s="1">
        <v>45952</v>
      </c>
      <c r="E255" s="1">
        <v>45957</v>
      </c>
      <c r="F255" s="1">
        <v>45958</v>
      </c>
      <c r="G255" s="1">
        <v>45961</v>
      </c>
      <c r="H255" t="s">
        <v>17</v>
      </c>
      <c r="J255" s="1">
        <v>45983</v>
      </c>
      <c r="K255" s="7">
        <v>5</v>
      </c>
      <c r="L255" s="7">
        <v>1</v>
      </c>
      <c r="M255" s="7">
        <v>3</v>
      </c>
      <c r="N255" s="7">
        <v>4</v>
      </c>
    </row>
    <row r="256" spans="1:14" x14ac:dyDescent="0.5">
      <c r="A256" t="s">
        <v>282</v>
      </c>
      <c r="B256" t="s">
        <v>21</v>
      </c>
      <c r="C256" t="s">
        <v>16</v>
      </c>
      <c r="D256" s="1">
        <v>45938</v>
      </c>
      <c r="E256" s="1">
        <v>45943</v>
      </c>
      <c r="F256" s="1">
        <v>45944</v>
      </c>
      <c r="G256" s="1">
        <v>45951</v>
      </c>
      <c r="H256" t="s">
        <v>17</v>
      </c>
      <c r="J256" s="1">
        <v>45976</v>
      </c>
      <c r="K256" s="7">
        <v>5</v>
      </c>
      <c r="L256" s="7">
        <v>1</v>
      </c>
      <c r="M256" s="7">
        <v>7</v>
      </c>
      <c r="N256" s="7">
        <v>5</v>
      </c>
    </row>
    <row r="257" spans="1:14" ht="36" x14ac:dyDescent="0.5">
      <c r="A257" t="s">
        <v>283</v>
      </c>
      <c r="B257" t="s">
        <v>21</v>
      </c>
      <c r="C257" t="s">
        <v>16</v>
      </c>
      <c r="D257" s="1">
        <v>45960</v>
      </c>
      <c r="E257" s="1">
        <v>45964</v>
      </c>
      <c r="F257" s="1">
        <v>45968</v>
      </c>
      <c r="G257" s="1">
        <v>45973</v>
      </c>
      <c r="H257" t="s">
        <v>23</v>
      </c>
      <c r="I257" s="2" t="s">
        <v>26</v>
      </c>
      <c r="K257" s="7">
        <v>4</v>
      </c>
      <c r="L257" s="7">
        <v>4</v>
      </c>
      <c r="M257" s="7">
        <v>5</v>
      </c>
    </row>
    <row r="258" spans="1:14" x14ac:dyDescent="0.5">
      <c r="A258" t="s">
        <v>284</v>
      </c>
      <c r="B258" t="s">
        <v>32</v>
      </c>
      <c r="C258" t="s">
        <v>16</v>
      </c>
      <c r="D258" s="1">
        <v>45939</v>
      </c>
      <c r="E258" s="1">
        <v>45944</v>
      </c>
      <c r="F258" s="1">
        <v>45947</v>
      </c>
      <c r="G258" s="1">
        <v>45952</v>
      </c>
      <c r="H258" t="s">
        <v>17</v>
      </c>
      <c r="J258" s="1">
        <v>45977</v>
      </c>
      <c r="K258" s="7">
        <v>5</v>
      </c>
      <c r="L258" s="7">
        <v>3</v>
      </c>
      <c r="M258" s="7">
        <v>5</v>
      </c>
      <c r="N258" s="7">
        <v>3</v>
      </c>
    </row>
    <row r="259" spans="1:14" ht="36" x14ac:dyDescent="0.5">
      <c r="A259" t="s">
        <v>285</v>
      </c>
      <c r="B259" t="s">
        <v>15</v>
      </c>
      <c r="C259" t="s">
        <v>22</v>
      </c>
      <c r="D259" s="1">
        <v>45956</v>
      </c>
      <c r="H259" t="s">
        <v>23</v>
      </c>
      <c r="I259" s="2" t="s">
        <v>63</v>
      </c>
    </row>
    <row r="260" spans="1:14" ht="36" x14ac:dyDescent="0.5">
      <c r="A260" t="s">
        <v>286</v>
      </c>
      <c r="B260" t="s">
        <v>19</v>
      </c>
      <c r="C260" t="s">
        <v>30</v>
      </c>
      <c r="D260" s="1">
        <v>45956</v>
      </c>
      <c r="E260" s="1">
        <v>45961</v>
      </c>
      <c r="F260" s="1">
        <v>45963</v>
      </c>
      <c r="G260" s="1">
        <v>45966</v>
      </c>
      <c r="H260" t="s">
        <v>23</v>
      </c>
      <c r="I260" s="2" t="s">
        <v>63</v>
      </c>
      <c r="K260" s="7">
        <v>5</v>
      </c>
      <c r="L260" s="7">
        <v>2</v>
      </c>
      <c r="M260" s="7">
        <v>3</v>
      </c>
    </row>
    <row r="261" spans="1:14" x14ac:dyDescent="0.5">
      <c r="A261" t="s">
        <v>287</v>
      </c>
      <c r="B261" t="s">
        <v>19</v>
      </c>
      <c r="C261" t="s">
        <v>16</v>
      </c>
      <c r="D261" s="1">
        <v>45951</v>
      </c>
      <c r="E261" s="1">
        <v>45954</v>
      </c>
      <c r="F261" s="1">
        <v>45958</v>
      </c>
      <c r="G261" s="1">
        <v>45964</v>
      </c>
      <c r="H261" t="s">
        <v>17</v>
      </c>
      <c r="J261" s="1">
        <v>45982</v>
      </c>
      <c r="K261" s="7">
        <v>3</v>
      </c>
      <c r="L261" s="7">
        <v>4</v>
      </c>
      <c r="M261" s="7">
        <v>6</v>
      </c>
      <c r="N261" s="7">
        <v>4</v>
      </c>
    </row>
    <row r="262" spans="1:14" x14ac:dyDescent="0.5">
      <c r="A262" t="s">
        <v>288</v>
      </c>
      <c r="B262" t="s">
        <v>19</v>
      </c>
      <c r="C262" t="s">
        <v>16</v>
      </c>
      <c r="D262" s="1">
        <v>45949</v>
      </c>
      <c r="E262" s="1">
        <v>45952</v>
      </c>
      <c r="F262" s="1">
        <v>45957</v>
      </c>
      <c r="G262" s="1">
        <v>45964</v>
      </c>
      <c r="H262" t="s">
        <v>17</v>
      </c>
      <c r="J262" s="1">
        <v>45976</v>
      </c>
      <c r="K262" s="7">
        <v>3</v>
      </c>
      <c r="L262" s="7">
        <v>5</v>
      </c>
      <c r="M262" s="7">
        <v>7</v>
      </c>
      <c r="N262" s="7">
        <v>2</v>
      </c>
    </row>
    <row r="263" spans="1:14" x14ac:dyDescent="0.5">
      <c r="A263" t="s">
        <v>289</v>
      </c>
      <c r="B263" t="s">
        <v>21</v>
      </c>
      <c r="C263" t="s">
        <v>16</v>
      </c>
      <c r="D263" s="1">
        <v>45952</v>
      </c>
      <c r="E263" s="1">
        <v>45954</v>
      </c>
      <c r="F263" s="1">
        <v>45957</v>
      </c>
      <c r="G263" s="1">
        <v>45961</v>
      </c>
      <c r="H263" t="s">
        <v>17</v>
      </c>
      <c r="J263" s="1">
        <v>45991</v>
      </c>
      <c r="K263" s="7">
        <v>2</v>
      </c>
      <c r="L263" s="7">
        <v>3</v>
      </c>
      <c r="M263" s="7">
        <v>4</v>
      </c>
      <c r="N263" s="7">
        <v>9</v>
      </c>
    </row>
    <row r="264" spans="1:14" x14ac:dyDescent="0.5">
      <c r="A264" t="s">
        <v>290</v>
      </c>
      <c r="B264" t="s">
        <v>21</v>
      </c>
      <c r="C264" t="s">
        <v>22</v>
      </c>
      <c r="D264" s="1">
        <v>45956</v>
      </c>
      <c r="H264" t="s">
        <v>23</v>
      </c>
      <c r="I264" s="2" t="s">
        <v>24</v>
      </c>
    </row>
    <row r="265" spans="1:14" x14ac:dyDescent="0.5">
      <c r="A265" t="s">
        <v>291</v>
      </c>
      <c r="B265" t="s">
        <v>21</v>
      </c>
      <c r="C265" t="s">
        <v>16</v>
      </c>
      <c r="D265" s="1">
        <v>45960</v>
      </c>
      <c r="E265" s="1">
        <v>45964</v>
      </c>
      <c r="F265" s="1">
        <v>45965</v>
      </c>
      <c r="G265" s="1">
        <v>45972</v>
      </c>
      <c r="H265" t="s">
        <v>17</v>
      </c>
      <c r="J265" s="1">
        <v>45999</v>
      </c>
      <c r="K265" s="7">
        <v>4</v>
      </c>
      <c r="L265" s="7">
        <v>1</v>
      </c>
      <c r="M265" s="7">
        <v>7</v>
      </c>
      <c r="N265" s="7">
        <v>5</v>
      </c>
    </row>
    <row r="266" spans="1:14" x14ac:dyDescent="0.5">
      <c r="A266" t="s">
        <v>292</v>
      </c>
      <c r="B266" t="s">
        <v>32</v>
      </c>
      <c r="C266" t="s">
        <v>16</v>
      </c>
      <c r="D266" s="1">
        <v>45937</v>
      </c>
      <c r="E266" s="1">
        <v>45938</v>
      </c>
      <c r="F266" s="1">
        <v>45941</v>
      </c>
      <c r="G266" s="1">
        <v>45946</v>
      </c>
      <c r="H266" t="s">
        <v>17</v>
      </c>
      <c r="J266" s="1">
        <v>45968</v>
      </c>
      <c r="K266" s="7">
        <v>1</v>
      </c>
      <c r="L266" s="7">
        <v>3</v>
      </c>
      <c r="M266" s="7">
        <v>5</v>
      </c>
      <c r="N266" s="7">
        <v>7</v>
      </c>
    </row>
    <row r="267" spans="1:14" x14ac:dyDescent="0.5">
      <c r="A267" t="s">
        <v>293</v>
      </c>
      <c r="B267" t="s">
        <v>15</v>
      </c>
      <c r="C267" t="s">
        <v>16</v>
      </c>
      <c r="D267" s="1">
        <v>45944</v>
      </c>
      <c r="E267" s="1">
        <v>45948</v>
      </c>
      <c r="F267" s="1">
        <v>45951</v>
      </c>
      <c r="G267" s="1">
        <v>45956</v>
      </c>
      <c r="H267" t="s">
        <v>17</v>
      </c>
      <c r="J267" s="1">
        <v>45971</v>
      </c>
      <c r="K267" s="7">
        <v>4</v>
      </c>
      <c r="L267" s="7">
        <v>3</v>
      </c>
      <c r="M267" s="7">
        <v>5</v>
      </c>
      <c r="N267" s="7">
        <v>5</v>
      </c>
    </row>
    <row r="268" spans="1:14" ht="36" x14ac:dyDescent="0.5">
      <c r="A268" t="s">
        <v>294</v>
      </c>
      <c r="B268" t="s">
        <v>21</v>
      </c>
      <c r="C268" t="s">
        <v>22</v>
      </c>
      <c r="D268" s="1">
        <v>45934</v>
      </c>
      <c r="H268" t="s">
        <v>23</v>
      </c>
      <c r="I268" s="2" t="s">
        <v>33</v>
      </c>
    </row>
    <row r="269" spans="1:14" ht="36" x14ac:dyDescent="0.5">
      <c r="A269" t="s">
        <v>295</v>
      </c>
      <c r="B269" t="s">
        <v>15</v>
      </c>
      <c r="C269" t="s">
        <v>22</v>
      </c>
      <c r="D269" s="1">
        <v>45948</v>
      </c>
      <c r="H269" t="s">
        <v>23</v>
      </c>
      <c r="I269" s="2" t="s">
        <v>26</v>
      </c>
    </row>
    <row r="270" spans="1:14" x14ac:dyDescent="0.5">
      <c r="A270" t="s">
        <v>296</v>
      </c>
      <c r="B270" t="s">
        <v>32</v>
      </c>
      <c r="C270" t="s">
        <v>16</v>
      </c>
      <c r="D270" s="1">
        <v>45938</v>
      </c>
      <c r="E270" s="1">
        <v>45942</v>
      </c>
      <c r="F270" s="1">
        <v>45947</v>
      </c>
      <c r="G270" s="1">
        <v>45952</v>
      </c>
      <c r="H270" t="s">
        <v>17</v>
      </c>
      <c r="J270" s="1">
        <v>45973</v>
      </c>
      <c r="K270" s="7">
        <v>4</v>
      </c>
      <c r="L270" s="7">
        <v>5</v>
      </c>
      <c r="M270" s="7">
        <v>5</v>
      </c>
      <c r="N270" s="7">
        <v>6</v>
      </c>
    </row>
    <row r="271" spans="1:14" x14ac:dyDescent="0.5">
      <c r="A271" t="s">
        <v>297</v>
      </c>
      <c r="B271" t="s">
        <v>19</v>
      </c>
      <c r="C271" t="s">
        <v>16</v>
      </c>
      <c r="D271" s="1">
        <v>45951</v>
      </c>
      <c r="E271" s="1">
        <v>45954</v>
      </c>
      <c r="F271" s="1">
        <v>45956</v>
      </c>
      <c r="G271" s="1">
        <v>45958</v>
      </c>
      <c r="H271" t="s">
        <v>17</v>
      </c>
      <c r="J271" s="1">
        <v>45980</v>
      </c>
      <c r="K271" s="7">
        <v>3</v>
      </c>
      <c r="L271" s="7">
        <v>2</v>
      </c>
      <c r="M271" s="7">
        <v>2</v>
      </c>
      <c r="N271" s="7">
        <v>1</v>
      </c>
    </row>
    <row r="272" spans="1:14" x14ac:dyDescent="0.5">
      <c r="A272" t="s">
        <v>298</v>
      </c>
      <c r="B272" t="s">
        <v>21</v>
      </c>
      <c r="C272" t="s">
        <v>30</v>
      </c>
      <c r="D272" s="1">
        <v>45935</v>
      </c>
      <c r="E272" s="1">
        <v>45938</v>
      </c>
      <c r="F272" s="1">
        <v>45940</v>
      </c>
      <c r="G272" s="1">
        <v>45947</v>
      </c>
      <c r="H272" t="s">
        <v>17</v>
      </c>
      <c r="J272" s="1">
        <v>45968</v>
      </c>
      <c r="K272" s="7">
        <v>3</v>
      </c>
      <c r="L272" s="7">
        <v>2</v>
      </c>
      <c r="M272" s="7">
        <v>7</v>
      </c>
      <c r="N272" s="7">
        <v>5</v>
      </c>
    </row>
    <row r="273" spans="1:14" x14ac:dyDescent="0.5">
      <c r="A273" t="s">
        <v>299</v>
      </c>
      <c r="B273" t="s">
        <v>15</v>
      </c>
      <c r="C273" t="s">
        <v>30</v>
      </c>
      <c r="D273" s="1">
        <v>45960</v>
      </c>
      <c r="E273" s="1">
        <v>45965</v>
      </c>
      <c r="F273" s="1">
        <v>45967</v>
      </c>
      <c r="G273" s="1">
        <v>45969</v>
      </c>
      <c r="H273" t="s">
        <v>17</v>
      </c>
      <c r="J273" s="1">
        <v>45984</v>
      </c>
      <c r="K273" s="7">
        <v>5</v>
      </c>
      <c r="L273" s="7">
        <v>2</v>
      </c>
      <c r="M273" s="7">
        <v>2</v>
      </c>
      <c r="N273" s="7">
        <v>6</v>
      </c>
    </row>
    <row r="274" spans="1:14" x14ac:dyDescent="0.5">
      <c r="A274" t="s">
        <v>300</v>
      </c>
      <c r="B274" t="s">
        <v>15</v>
      </c>
      <c r="C274" t="s">
        <v>16</v>
      </c>
      <c r="D274" s="1">
        <v>45939</v>
      </c>
      <c r="E274" s="1">
        <v>45940</v>
      </c>
      <c r="F274" s="1">
        <v>45944</v>
      </c>
      <c r="G274" s="1">
        <v>45949</v>
      </c>
      <c r="H274" t="s">
        <v>17</v>
      </c>
      <c r="J274" s="1">
        <v>45973</v>
      </c>
      <c r="K274" s="7">
        <v>1</v>
      </c>
      <c r="L274" s="7">
        <v>4</v>
      </c>
      <c r="M274" s="7">
        <v>5</v>
      </c>
      <c r="N274" s="7">
        <v>9</v>
      </c>
    </row>
    <row r="275" spans="1:14" x14ac:dyDescent="0.5">
      <c r="A275" t="s">
        <v>301</v>
      </c>
      <c r="B275" t="s">
        <v>21</v>
      </c>
      <c r="C275" t="s">
        <v>30</v>
      </c>
      <c r="D275" s="1">
        <v>45957</v>
      </c>
      <c r="E275" s="1">
        <v>45960</v>
      </c>
      <c r="F275" s="1">
        <v>45962</v>
      </c>
      <c r="G275" s="1">
        <v>45968</v>
      </c>
      <c r="H275" t="s">
        <v>17</v>
      </c>
      <c r="J275" s="1">
        <v>45979</v>
      </c>
      <c r="K275" s="7">
        <v>3</v>
      </c>
      <c r="L275" s="7">
        <v>2</v>
      </c>
      <c r="M275" s="7">
        <v>6</v>
      </c>
      <c r="N275" s="7">
        <v>2</v>
      </c>
    </row>
    <row r="276" spans="1:14" x14ac:dyDescent="0.5">
      <c r="A276" t="s">
        <v>302</v>
      </c>
      <c r="B276" t="s">
        <v>19</v>
      </c>
      <c r="C276" t="s">
        <v>16</v>
      </c>
      <c r="D276" s="1">
        <v>45935</v>
      </c>
      <c r="E276" s="1">
        <v>45940</v>
      </c>
      <c r="F276" s="1">
        <v>45944</v>
      </c>
      <c r="G276" s="1">
        <v>45951</v>
      </c>
      <c r="H276" t="s">
        <v>17</v>
      </c>
      <c r="J276" s="1">
        <v>45969</v>
      </c>
      <c r="K276" s="7">
        <v>5</v>
      </c>
      <c r="L276" s="7">
        <v>4</v>
      </c>
      <c r="M276" s="7">
        <v>7</v>
      </c>
      <c r="N276" s="7">
        <v>3</v>
      </c>
    </row>
    <row r="277" spans="1:14" x14ac:dyDescent="0.5">
      <c r="A277" t="s">
        <v>303</v>
      </c>
      <c r="B277" t="s">
        <v>19</v>
      </c>
      <c r="C277" t="s">
        <v>30</v>
      </c>
      <c r="D277" s="1">
        <v>45933</v>
      </c>
      <c r="E277" s="1">
        <v>45934</v>
      </c>
      <c r="F277" s="1">
        <v>45939</v>
      </c>
      <c r="G277" s="1">
        <v>45943</v>
      </c>
      <c r="H277" t="s">
        <v>17</v>
      </c>
      <c r="J277" s="1">
        <v>45967</v>
      </c>
      <c r="K277" s="7">
        <v>1</v>
      </c>
      <c r="L277" s="7">
        <v>5</v>
      </c>
      <c r="M277" s="7">
        <v>4</v>
      </c>
      <c r="N277" s="7">
        <v>10</v>
      </c>
    </row>
    <row r="278" spans="1:14" x14ac:dyDescent="0.5">
      <c r="A278" t="s">
        <v>304</v>
      </c>
      <c r="B278" t="s">
        <v>19</v>
      </c>
      <c r="C278" t="s">
        <v>16</v>
      </c>
      <c r="D278" s="1">
        <v>45932</v>
      </c>
      <c r="E278" s="1">
        <v>45935</v>
      </c>
      <c r="F278" s="1">
        <v>45938</v>
      </c>
      <c r="G278" s="1">
        <v>45945</v>
      </c>
      <c r="H278" t="s">
        <v>17</v>
      </c>
      <c r="J278" s="1">
        <v>45969</v>
      </c>
      <c r="K278" s="7">
        <v>3</v>
      </c>
      <c r="L278" s="7">
        <v>3</v>
      </c>
      <c r="M278" s="7">
        <v>7</v>
      </c>
      <c r="N278" s="7">
        <v>8</v>
      </c>
    </row>
    <row r="279" spans="1:14" x14ac:dyDescent="0.5">
      <c r="A279" t="s">
        <v>305</v>
      </c>
      <c r="B279" t="s">
        <v>32</v>
      </c>
      <c r="C279" t="s">
        <v>16</v>
      </c>
      <c r="D279" s="1">
        <v>45936</v>
      </c>
      <c r="E279" s="1">
        <v>45940</v>
      </c>
      <c r="F279" s="1">
        <v>45944</v>
      </c>
      <c r="G279" s="1">
        <v>45948</v>
      </c>
      <c r="H279" t="s">
        <v>17</v>
      </c>
      <c r="J279" s="1">
        <v>45966</v>
      </c>
      <c r="K279" s="7">
        <v>4</v>
      </c>
      <c r="L279" s="7">
        <v>4</v>
      </c>
      <c r="M279" s="7">
        <v>4</v>
      </c>
      <c r="N279" s="7">
        <v>1</v>
      </c>
    </row>
    <row r="280" spans="1:14" x14ac:dyDescent="0.5">
      <c r="A280" t="s">
        <v>306</v>
      </c>
      <c r="B280" t="s">
        <v>15</v>
      </c>
      <c r="C280" t="s">
        <v>22</v>
      </c>
      <c r="D280" s="1">
        <v>45956</v>
      </c>
      <c r="H280" t="s">
        <v>23</v>
      </c>
      <c r="I280" s="2" t="s">
        <v>24</v>
      </c>
    </row>
    <row r="281" spans="1:14" x14ac:dyDescent="0.5">
      <c r="A281" t="s">
        <v>307</v>
      </c>
      <c r="B281" t="s">
        <v>15</v>
      </c>
      <c r="C281" t="s">
        <v>30</v>
      </c>
      <c r="D281" s="1">
        <v>45940</v>
      </c>
      <c r="E281" s="1">
        <v>45944</v>
      </c>
      <c r="F281" s="1">
        <v>45949</v>
      </c>
      <c r="G281" s="1">
        <v>45954</v>
      </c>
      <c r="H281" t="s">
        <v>23</v>
      </c>
      <c r="I281" s="2" t="s">
        <v>24</v>
      </c>
      <c r="K281" s="7">
        <v>4</v>
      </c>
      <c r="L281" s="7">
        <v>5</v>
      </c>
      <c r="M281" s="7">
        <v>5</v>
      </c>
    </row>
    <row r="282" spans="1:14" x14ac:dyDescent="0.5">
      <c r="A282" t="s">
        <v>308</v>
      </c>
      <c r="B282" t="s">
        <v>15</v>
      </c>
      <c r="C282" t="s">
        <v>16</v>
      </c>
      <c r="D282" s="1">
        <v>45950</v>
      </c>
      <c r="E282" s="1">
        <v>45951</v>
      </c>
      <c r="F282" s="1">
        <v>45955</v>
      </c>
      <c r="G282" s="1">
        <v>45960</v>
      </c>
      <c r="H282" t="s">
        <v>17</v>
      </c>
      <c r="J282" s="1">
        <v>45977</v>
      </c>
      <c r="K282" s="7">
        <v>1</v>
      </c>
      <c r="L282" s="7">
        <v>4</v>
      </c>
      <c r="M282" s="7">
        <v>5</v>
      </c>
      <c r="N282" s="7">
        <v>8</v>
      </c>
    </row>
    <row r="283" spans="1:14" ht="36" x14ac:dyDescent="0.5">
      <c r="A283" t="s">
        <v>309</v>
      </c>
      <c r="B283" t="s">
        <v>32</v>
      </c>
      <c r="C283" t="s">
        <v>22</v>
      </c>
      <c r="D283" s="1">
        <v>45954</v>
      </c>
      <c r="H283" t="s">
        <v>23</v>
      </c>
      <c r="I283" s="2" t="s">
        <v>33</v>
      </c>
    </row>
    <row r="284" spans="1:14" ht="36" x14ac:dyDescent="0.5">
      <c r="A284" t="s">
        <v>310</v>
      </c>
      <c r="B284" t="s">
        <v>15</v>
      </c>
      <c r="C284" t="s">
        <v>30</v>
      </c>
      <c r="D284" s="1">
        <v>45957</v>
      </c>
      <c r="E284" s="1">
        <v>45958</v>
      </c>
      <c r="F284" s="1">
        <v>45963</v>
      </c>
      <c r="G284" s="1">
        <v>45967</v>
      </c>
      <c r="H284" t="s">
        <v>23</v>
      </c>
      <c r="I284" s="2" t="s">
        <v>26</v>
      </c>
      <c r="K284" s="7">
        <v>1</v>
      </c>
      <c r="L284" s="7">
        <v>5</v>
      </c>
      <c r="M284" s="7">
        <v>4</v>
      </c>
    </row>
    <row r="285" spans="1:14" ht="36" x14ac:dyDescent="0.5">
      <c r="A285" t="s">
        <v>311</v>
      </c>
      <c r="B285" t="s">
        <v>32</v>
      </c>
      <c r="C285" t="s">
        <v>22</v>
      </c>
      <c r="D285" s="1">
        <v>45949</v>
      </c>
      <c r="H285" t="s">
        <v>23</v>
      </c>
      <c r="I285" s="2" t="s">
        <v>33</v>
      </c>
    </row>
    <row r="286" spans="1:14" x14ac:dyDescent="0.5">
      <c r="A286" t="s">
        <v>312</v>
      </c>
      <c r="B286" t="s">
        <v>19</v>
      </c>
      <c r="C286" t="s">
        <v>16</v>
      </c>
      <c r="D286" s="1">
        <v>45960</v>
      </c>
      <c r="E286" s="1">
        <v>45963</v>
      </c>
      <c r="F286" s="1">
        <v>45965</v>
      </c>
      <c r="G286" s="1">
        <v>45971</v>
      </c>
      <c r="H286" t="s">
        <v>17</v>
      </c>
      <c r="J286" s="1">
        <v>45989</v>
      </c>
      <c r="K286" s="7">
        <v>3</v>
      </c>
      <c r="L286" s="7">
        <v>2</v>
      </c>
      <c r="M286" s="7">
        <v>6</v>
      </c>
      <c r="N286" s="7">
        <v>4</v>
      </c>
    </row>
    <row r="287" spans="1:14" x14ac:dyDescent="0.5">
      <c r="A287" t="s">
        <v>313</v>
      </c>
      <c r="B287" t="s">
        <v>21</v>
      </c>
      <c r="C287" t="s">
        <v>16</v>
      </c>
      <c r="D287" s="1">
        <v>45940</v>
      </c>
      <c r="E287" s="1">
        <v>45943</v>
      </c>
      <c r="F287" s="1">
        <v>45945</v>
      </c>
      <c r="G287" s="1">
        <v>45947</v>
      </c>
      <c r="H287" t="s">
        <v>17</v>
      </c>
      <c r="J287" s="1">
        <v>45975</v>
      </c>
      <c r="K287" s="7">
        <v>3</v>
      </c>
      <c r="L287" s="7">
        <v>2</v>
      </c>
      <c r="M287" s="7">
        <v>2</v>
      </c>
      <c r="N287" s="7">
        <v>9</v>
      </c>
    </row>
    <row r="288" spans="1:14" ht="36" x14ac:dyDescent="0.5">
      <c r="A288" t="s">
        <v>314</v>
      </c>
      <c r="B288" t="s">
        <v>15</v>
      </c>
      <c r="C288" t="s">
        <v>22</v>
      </c>
      <c r="D288" s="1">
        <v>45945</v>
      </c>
      <c r="H288" t="s">
        <v>23</v>
      </c>
      <c r="I288" s="2" t="s">
        <v>26</v>
      </c>
    </row>
    <row r="289" spans="1:14" x14ac:dyDescent="0.5">
      <c r="A289" t="s">
        <v>315</v>
      </c>
      <c r="B289" t="s">
        <v>15</v>
      </c>
      <c r="C289" t="s">
        <v>30</v>
      </c>
      <c r="D289" s="1">
        <v>45934</v>
      </c>
      <c r="E289" s="1">
        <v>45935</v>
      </c>
      <c r="F289" s="1">
        <v>45940</v>
      </c>
      <c r="G289" s="1">
        <v>45947</v>
      </c>
      <c r="H289" t="s">
        <v>17</v>
      </c>
      <c r="J289" s="1">
        <v>45958</v>
      </c>
      <c r="K289" s="7">
        <v>1</v>
      </c>
      <c r="L289" s="7">
        <v>5</v>
      </c>
      <c r="M289" s="7">
        <v>7</v>
      </c>
      <c r="N289" s="7">
        <v>2</v>
      </c>
    </row>
    <row r="290" spans="1:14" ht="36" x14ac:dyDescent="0.5">
      <c r="A290" t="s">
        <v>316</v>
      </c>
      <c r="B290" t="s">
        <v>19</v>
      </c>
      <c r="C290" t="s">
        <v>16</v>
      </c>
      <c r="D290" s="1">
        <v>45945</v>
      </c>
      <c r="E290" s="1">
        <v>45946</v>
      </c>
      <c r="F290" s="1">
        <v>45947</v>
      </c>
      <c r="G290" s="1">
        <v>45949</v>
      </c>
      <c r="H290" t="s">
        <v>23</v>
      </c>
      <c r="I290" s="2" t="s">
        <v>33</v>
      </c>
      <c r="K290" s="7">
        <v>1</v>
      </c>
      <c r="L290" s="7">
        <v>1</v>
      </c>
      <c r="M290" s="7">
        <v>2</v>
      </c>
    </row>
    <row r="291" spans="1:14" x14ac:dyDescent="0.5">
      <c r="A291" t="s">
        <v>317</v>
      </c>
      <c r="B291" t="s">
        <v>21</v>
      </c>
      <c r="C291" t="s">
        <v>22</v>
      </c>
      <c r="D291" s="1">
        <v>45953</v>
      </c>
      <c r="H291" t="s">
        <v>23</v>
      </c>
      <c r="I291" s="2" t="s">
        <v>24</v>
      </c>
    </row>
    <row r="292" spans="1:14" x14ac:dyDescent="0.5">
      <c r="A292" t="s">
        <v>318</v>
      </c>
      <c r="B292" t="s">
        <v>32</v>
      </c>
      <c r="C292" t="s">
        <v>30</v>
      </c>
      <c r="D292" s="1">
        <v>45940</v>
      </c>
      <c r="E292" s="1">
        <v>45945</v>
      </c>
      <c r="F292" s="1">
        <v>45950</v>
      </c>
      <c r="G292" s="1">
        <v>45957</v>
      </c>
      <c r="H292" t="s">
        <v>17</v>
      </c>
      <c r="J292" s="1">
        <v>45971</v>
      </c>
      <c r="K292" s="7">
        <v>5</v>
      </c>
      <c r="L292" s="7">
        <v>5</v>
      </c>
      <c r="M292" s="7">
        <v>7</v>
      </c>
      <c r="N292" s="7">
        <v>4</v>
      </c>
    </row>
    <row r="293" spans="1:14" x14ac:dyDescent="0.5">
      <c r="A293" t="s">
        <v>319</v>
      </c>
      <c r="B293" t="s">
        <v>21</v>
      </c>
      <c r="C293" t="s">
        <v>16</v>
      </c>
      <c r="D293" s="1">
        <v>45953</v>
      </c>
      <c r="E293" s="1">
        <v>45958</v>
      </c>
      <c r="F293" s="1">
        <v>45962</v>
      </c>
      <c r="G293" s="1">
        <v>45967</v>
      </c>
      <c r="H293" t="s">
        <v>17</v>
      </c>
      <c r="J293" s="1">
        <v>45980</v>
      </c>
      <c r="K293" s="7">
        <v>5</v>
      </c>
      <c r="L293" s="7">
        <v>4</v>
      </c>
      <c r="M293" s="7">
        <v>5</v>
      </c>
      <c r="N293" s="7">
        <v>1</v>
      </c>
    </row>
    <row r="294" spans="1:14" x14ac:dyDescent="0.5">
      <c r="A294" t="s">
        <v>320</v>
      </c>
      <c r="B294" t="s">
        <v>19</v>
      </c>
      <c r="C294" t="s">
        <v>22</v>
      </c>
      <c r="D294" s="1">
        <v>45943</v>
      </c>
      <c r="H294" t="s">
        <v>23</v>
      </c>
      <c r="I294" s="2" t="s">
        <v>24</v>
      </c>
    </row>
    <row r="295" spans="1:14" x14ac:dyDescent="0.5">
      <c r="A295" t="s">
        <v>321</v>
      </c>
      <c r="B295" t="s">
        <v>19</v>
      </c>
      <c r="C295" t="s">
        <v>30</v>
      </c>
      <c r="D295" s="1">
        <v>45961</v>
      </c>
      <c r="E295" s="1">
        <v>45966</v>
      </c>
      <c r="F295" s="1">
        <v>45971</v>
      </c>
      <c r="G295" s="1">
        <v>45978</v>
      </c>
      <c r="H295" t="s">
        <v>17</v>
      </c>
      <c r="J295" s="1">
        <v>45990</v>
      </c>
      <c r="K295" s="7">
        <v>5</v>
      </c>
      <c r="L295" s="7">
        <v>5</v>
      </c>
      <c r="M295" s="7">
        <v>7</v>
      </c>
      <c r="N295" s="7">
        <v>6</v>
      </c>
    </row>
    <row r="296" spans="1:14" x14ac:dyDescent="0.5">
      <c r="A296" t="s">
        <v>322</v>
      </c>
      <c r="B296" t="s">
        <v>21</v>
      </c>
      <c r="C296" t="s">
        <v>22</v>
      </c>
      <c r="D296" s="1">
        <v>45939</v>
      </c>
      <c r="H296" t="s">
        <v>23</v>
      </c>
      <c r="I296" s="2" t="s">
        <v>101</v>
      </c>
    </row>
    <row r="297" spans="1:14" ht="36" x14ac:dyDescent="0.5">
      <c r="A297" t="s">
        <v>323</v>
      </c>
      <c r="B297" t="s">
        <v>32</v>
      </c>
      <c r="C297" t="s">
        <v>16</v>
      </c>
      <c r="D297" s="1">
        <v>45947</v>
      </c>
      <c r="E297" s="1">
        <v>45951</v>
      </c>
      <c r="F297" s="1">
        <v>45954</v>
      </c>
      <c r="G297" s="1">
        <v>45961</v>
      </c>
      <c r="H297" t="s">
        <v>23</v>
      </c>
      <c r="I297" s="2" t="s">
        <v>63</v>
      </c>
      <c r="K297" s="7">
        <v>4</v>
      </c>
      <c r="L297" s="7">
        <v>3</v>
      </c>
      <c r="M297" s="7">
        <v>7</v>
      </c>
    </row>
    <row r="298" spans="1:14" x14ac:dyDescent="0.5">
      <c r="A298" t="s">
        <v>324</v>
      </c>
      <c r="B298" t="s">
        <v>32</v>
      </c>
      <c r="C298" t="s">
        <v>16</v>
      </c>
      <c r="D298" s="1">
        <v>45948</v>
      </c>
      <c r="E298" s="1">
        <v>45952</v>
      </c>
      <c r="F298" s="1">
        <v>45953</v>
      </c>
      <c r="G298" s="1">
        <v>45960</v>
      </c>
      <c r="H298" t="s">
        <v>17</v>
      </c>
      <c r="J298" s="1">
        <v>45981</v>
      </c>
      <c r="K298" s="7">
        <v>4</v>
      </c>
      <c r="L298" s="7">
        <v>1</v>
      </c>
      <c r="M298" s="7">
        <v>7</v>
      </c>
      <c r="N298" s="7">
        <v>6</v>
      </c>
    </row>
    <row r="299" spans="1:14" x14ac:dyDescent="0.5">
      <c r="A299" t="s">
        <v>325</v>
      </c>
      <c r="B299" t="s">
        <v>15</v>
      </c>
      <c r="C299" t="s">
        <v>16</v>
      </c>
      <c r="D299" s="1">
        <v>45946</v>
      </c>
      <c r="E299" s="1">
        <v>45951</v>
      </c>
      <c r="F299" s="1">
        <v>45956</v>
      </c>
      <c r="G299" s="1">
        <v>45960</v>
      </c>
      <c r="H299" t="s">
        <v>17</v>
      </c>
      <c r="J299" s="1">
        <v>45987</v>
      </c>
      <c r="K299" s="7">
        <v>5</v>
      </c>
      <c r="L299" s="7">
        <v>5</v>
      </c>
      <c r="M299" s="7">
        <v>4</v>
      </c>
      <c r="N299" s="7">
        <v>10</v>
      </c>
    </row>
    <row r="300" spans="1:14" x14ac:dyDescent="0.5">
      <c r="A300" t="s">
        <v>326</v>
      </c>
      <c r="B300" t="s">
        <v>32</v>
      </c>
      <c r="C300" t="s">
        <v>30</v>
      </c>
      <c r="D300" s="1">
        <v>45945</v>
      </c>
      <c r="E300" s="1">
        <v>45950</v>
      </c>
      <c r="F300" s="1">
        <v>45951</v>
      </c>
      <c r="G300" s="1">
        <v>45953</v>
      </c>
      <c r="H300" t="s">
        <v>17</v>
      </c>
      <c r="J300" s="1">
        <v>45976</v>
      </c>
      <c r="K300" s="7">
        <v>5</v>
      </c>
      <c r="L300" s="7">
        <v>1</v>
      </c>
      <c r="M300" s="7">
        <v>2</v>
      </c>
      <c r="N300" s="7">
        <v>10</v>
      </c>
    </row>
    <row r="301" spans="1:14" ht="36" x14ac:dyDescent="0.5">
      <c r="A301" t="s">
        <v>327</v>
      </c>
      <c r="B301" t="s">
        <v>21</v>
      </c>
      <c r="C301" t="s">
        <v>22</v>
      </c>
      <c r="D301" s="1">
        <v>45933</v>
      </c>
      <c r="H301" t="s">
        <v>23</v>
      </c>
      <c r="I301" s="2" t="s">
        <v>33</v>
      </c>
    </row>
    <row r="302" spans="1:14" x14ac:dyDescent="0.5">
      <c r="A302" t="s">
        <v>328</v>
      </c>
      <c r="B302" t="s">
        <v>19</v>
      </c>
      <c r="C302" t="s">
        <v>22</v>
      </c>
      <c r="D302" s="1">
        <v>45950</v>
      </c>
      <c r="H302" t="s">
        <v>23</v>
      </c>
      <c r="I302" s="2" t="s">
        <v>101</v>
      </c>
    </row>
    <row r="303" spans="1:14" x14ac:dyDescent="0.5">
      <c r="A303" t="s">
        <v>329</v>
      </c>
      <c r="B303" t="s">
        <v>15</v>
      </c>
      <c r="C303" t="s">
        <v>16</v>
      </c>
      <c r="D303" s="1">
        <v>45932</v>
      </c>
      <c r="E303" s="1">
        <v>45933</v>
      </c>
      <c r="F303" s="1">
        <v>45934</v>
      </c>
      <c r="G303" s="1">
        <v>45940</v>
      </c>
      <c r="H303" t="s">
        <v>17</v>
      </c>
      <c r="J303" s="1">
        <v>45968</v>
      </c>
      <c r="K303" s="7">
        <v>1</v>
      </c>
      <c r="L303" s="7">
        <v>1</v>
      </c>
      <c r="M303" s="7">
        <v>6</v>
      </c>
      <c r="N303" s="7">
        <v>8</v>
      </c>
    </row>
    <row r="304" spans="1:14" x14ac:dyDescent="0.5">
      <c r="A304" t="s">
        <v>330</v>
      </c>
      <c r="B304" t="s">
        <v>15</v>
      </c>
      <c r="C304" t="s">
        <v>16</v>
      </c>
      <c r="D304" s="1">
        <v>45959</v>
      </c>
      <c r="E304" s="1">
        <v>45963</v>
      </c>
      <c r="F304" s="1">
        <v>45968</v>
      </c>
      <c r="G304" s="1">
        <v>45973</v>
      </c>
      <c r="H304" t="s">
        <v>17</v>
      </c>
      <c r="J304" s="1">
        <v>45990</v>
      </c>
      <c r="K304" s="7">
        <v>4</v>
      </c>
      <c r="L304" s="7">
        <v>5</v>
      </c>
      <c r="M304" s="7">
        <v>5</v>
      </c>
      <c r="N304" s="7">
        <v>5</v>
      </c>
    </row>
    <row r="305" spans="1:14" x14ac:dyDescent="0.5">
      <c r="A305" t="s">
        <v>331</v>
      </c>
      <c r="B305" t="s">
        <v>19</v>
      </c>
      <c r="C305" t="s">
        <v>16</v>
      </c>
      <c r="D305" s="1">
        <v>45944</v>
      </c>
      <c r="E305" s="1">
        <v>45949</v>
      </c>
      <c r="F305" s="1">
        <v>45954</v>
      </c>
      <c r="G305" s="1">
        <v>45957</v>
      </c>
      <c r="H305" t="s">
        <v>17</v>
      </c>
      <c r="J305" s="1">
        <v>45984</v>
      </c>
      <c r="K305" s="7">
        <v>5</v>
      </c>
      <c r="L305" s="7">
        <v>5</v>
      </c>
      <c r="M305" s="7">
        <v>3</v>
      </c>
      <c r="N305" s="7">
        <v>6</v>
      </c>
    </row>
    <row r="306" spans="1:14" x14ac:dyDescent="0.5">
      <c r="A306" t="s">
        <v>332</v>
      </c>
      <c r="B306" t="s">
        <v>32</v>
      </c>
      <c r="C306" t="s">
        <v>16</v>
      </c>
      <c r="D306" s="1">
        <v>45954</v>
      </c>
      <c r="E306" s="1">
        <v>45956</v>
      </c>
      <c r="F306" s="1">
        <v>45958</v>
      </c>
      <c r="G306" s="1">
        <v>45963</v>
      </c>
      <c r="H306" t="s">
        <v>17</v>
      </c>
      <c r="J306" s="1">
        <v>45974</v>
      </c>
      <c r="K306" s="7">
        <v>2</v>
      </c>
      <c r="L306" s="7">
        <v>2</v>
      </c>
      <c r="M306" s="7">
        <v>5</v>
      </c>
      <c r="N306" s="7">
        <v>1</v>
      </c>
    </row>
    <row r="307" spans="1:14" x14ac:dyDescent="0.5">
      <c r="A307" t="s">
        <v>333</v>
      </c>
      <c r="B307" t="s">
        <v>19</v>
      </c>
      <c r="C307" t="s">
        <v>16</v>
      </c>
      <c r="D307" s="1">
        <v>45941</v>
      </c>
      <c r="E307" s="1">
        <v>45944</v>
      </c>
      <c r="F307" s="1">
        <v>45949</v>
      </c>
      <c r="G307" s="1">
        <v>45952</v>
      </c>
      <c r="H307" t="s">
        <v>17</v>
      </c>
      <c r="J307" s="1">
        <v>45974</v>
      </c>
      <c r="K307" s="7">
        <v>3</v>
      </c>
      <c r="L307" s="7">
        <v>5</v>
      </c>
      <c r="M307" s="7">
        <v>3</v>
      </c>
      <c r="N307" s="7">
        <v>1</v>
      </c>
    </row>
    <row r="308" spans="1:14" x14ac:dyDescent="0.5">
      <c r="A308" t="s">
        <v>334</v>
      </c>
      <c r="B308" t="s">
        <v>32</v>
      </c>
      <c r="C308" t="s">
        <v>16</v>
      </c>
      <c r="D308" s="1">
        <v>45950</v>
      </c>
      <c r="E308" s="1">
        <v>45955</v>
      </c>
      <c r="F308" s="1">
        <v>45960</v>
      </c>
      <c r="G308" s="1">
        <v>45965</v>
      </c>
      <c r="H308" t="s">
        <v>17</v>
      </c>
      <c r="J308" s="1">
        <v>45991</v>
      </c>
      <c r="K308" s="7">
        <v>5</v>
      </c>
      <c r="L308" s="7">
        <v>5</v>
      </c>
      <c r="M308" s="7">
        <v>5</v>
      </c>
      <c r="N308" s="7">
        <v>8</v>
      </c>
    </row>
    <row r="309" spans="1:14" x14ac:dyDescent="0.5">
      <c r="A309" t="s">
        <v>335</v>
      </c>
      <c r="B309" t="s">
        <v>19</v>
      </c>
      <c r="C309" t="s">
        <v>16</v>
      </c>
      <c r="D309" s="1">
        <v>45939</v>
      </c>
      <c r="E309" s="1">
        <v>45943</v>
      </c>
      <c r="F309" s="1">
        <v>45945</v>
      </c>
      <c r="G309" s="1">
        <v>45949</v>
      </c>
      <c r="H309" t="s">
        <v>17</v>
      </c>
      <c r="J309" s="1">
        <v>45972</v>
      </c>
      <c r="K309" s="7">
        <v>4</v>
      </c>
      <c r="L309" s="7">
        <v>2</v>
      </c>
      <c r="M309" s="7">
        <v>4</v>
      </c>
      <c r="N309" s="7">
        <v>9</v>
      </c>
    </row>
    <row r="310" spans="1:14" x14ac:dyDescent="0.5">
      <c r="A310" t="s">
        <v>336</v>
      </c>
      <c r="B310" t="s">
        <v>21</v>
      </c>
      <c r="C310" t="s">
        <v>16</v>
      </c>
      <c r="D310" s="1">
        <v>45931</v>
      </c>
      <c r="E310" s="1">
        <v>45936</v>
      </c>
      <c r="F310" s="1">
        <v>45938</v>
      </c>
      <c r="G310" s="1">
        <v>45942</v>
      </c>
      <c r="H310" t="s">
        <v>17</v>
      </c>
      <c r="J310" s="1">
        <v>45969</v>
      </c>
      <c r="K310" s="7">
        <v>5</v>
      </c>
      <c r="L310" s="7">
        <v>2</v>
      </c>
      <c r="M310" s="7">
        <v>4</v>
      </c>
      <c r="N310" s="7">
        <v>6</v>
      </c>
    </row>
    <row r="311" spans="1:14" x14ac:dyDescent="0.5">
      <c r="A311" t="s">
        <v>337</v>
      </c>
      <c r="B311" t="s">
        <v>32</v>
      </c>
      <c r="C311" t="s">
        <v>16</v>
      </c>
      <c r="D311" s="1">
        <v>45933</v>
      </c>
      <c r="E311" s="1">
        <v>45935</v>
      </c>
      <c r="F311" s="1">
        <v>45938</v>
      </c>
      <c r="G311" s="1">
        <v>45942</v>
      </c>
      <c r="H311" t="s">
        <v>17</v>
      </c>
      <c r="J311" s="1">
        <v>45967</v>
      </c>
      <c r="K311" s="7">
        <v>2</v>
      </c>
      <c r="L311" s="7">
        <v>3</v>
      </c>
      <c r="M311" s="7">
        <v>4</v>
      </c>
      <c r="N311" s="7">
        <v>5</v>
      </c>
    </row>
    <row r="312" spans="1:14" x14ac:dyDescent="0.5">
      <c r="A312" t="s">
        <v>338</v>
      </c>
      <c r="B312" t="s">
        <v>21</v>
      </c>
      <c r="C312" t="s">
        <v>30</v>
      </c>
      <c r="D312" s="1">
        <v>45938</v>
      </c>
      <c r="E312" s="1">
        <v>45939</v>
      </c>
      <c r="F312" s="1">
        <v>45944</v>
      </c>
      <c r="G312" s="1">
        <v>45948</v>
      </c>
      <c r="H312" t="s">
        <v>17</v>
      </c>
      <c r="J312" s="1">
        <v>45976</v>
      </c>
      <c r="K312" s="7">
        <v>1</v>
      </c>
      <c r="L312" s="7">
        <v>5</v>
      </c>
      <c r="M312" s="7">
        <v>4</v>
      </c>
      <c r="N312" s="7">
        <v>3</v>
      </c>
    </row>
    <row r="313" spans="1:14" x14ac:dyDescent="0.5">
      <c r="A313" t="s">
        <v>339</v>
      </c>
      <c r="B313" t="s">
        <v>15</v>
      </c>
      <c r="C313" t="s">
        <v>30</v>
      </c>
      <c r="D313" s="1">
        <v>45961</v>
      </c>
      <c r="E313" s="1">
        <v>45965</v>
      </c>
      <c r="F313" s="1">
        <v>45969</v>
      </c>
      <c r="G313" s="1">
        <v>45975</v>
      </c>
      <c r="H313" t="s">
        <v>17</v>
      </c>
      <c r="J313" s="1">
        <v>45992</v>
      </c>
      <c r="K313" s="7">
        <v>4</v>
      </c>
      <c r="L313" s="7">
        <v>4</v>
      </c>
      <c r="M313" s="7">
        <v>6</v>
      </c>
      <c r="N313" s="7">
        <v>6</v>
      </c>
    </row>
    <row r="314" spans="1:14" x14ac:dyDescent="0.5">
      <c r="A314" t="s">
        <v>340</v>
      </c>
      <c r="B314" t="s">
        <v>19</v>
      </c>
      <c r="C314" t="s">
        <v>16</v>
      </c>
      <c r="D314" s="1">
        <v>45952</v>
      </c>
      <c r="E314" s="1">
        <v>45953</v>
      </c>
      <c r="F314" s="1">
        <v>45954</v>
      </c>
      <c r="G314" s="1">
        <v>45960</v>
      </c>
      <c r="H314" t="s">
        <v>17</v>
      </c>
      <c r="J314" s="1">
        <v>45985</v>
      </c>
      <c r="K314" s="7">
        <v>1</v>
      </c>
      <c r="L314" s="7">
        <v>1</v>
      </c>
      <c r="M314" s="7">
        <v>6</v>
      </c>
      <c r="N314" s="7">
        <v>6</v>
      </c>
    </row>
    <row r="315" spans="1:14" x14ac:dyDescent="0.5">
      <c r="A315" t="s">
        <v>341</v>
      </c>
      <c r="B315" t="s">
        <v>15</v>
      </c>
      <c r="C315" t="s">
        <v>16</v>
      </c>
      <c r="D315" s="1">
        <v>45957</v>
      </c>
      <c r="E315" s="1">
        <v>45960</v>
      </c>
      <c r="F315" s="1">
        <v>45962</v>
      </c>
      <c r="G315" s="1">
        <v>45965</v>
      </c>
      <c r="H315" t="s">
        <v>17</v>
      </c>
      <c r="J315" s="1">
        <v>45984</v>
      </c>
      <c r="K315" s="7">
        <v>3</v>
      </c>
      <c r="L315" s="7">
        <v>2</v>
      </c>
      <c r="M315" s="7">
        <v>3</v>
      </c>
      <c r="N315" s="7">
        <v>6</v>
      </c>
    </row>
    <row r="316" spans="1:14" x14ac:dyDescent="0.5">
      <c r="A316" t="s">
        <v>342</v>
      </c>
      <c r="B316" t="s">
        <v>15</v>
      </c>
      <c r="C316" t="s">
        <v>16</v>
      </c>
      <c r="D316" s="1">
        <v>45958</v>
      </c>
      <c r="E316" s="1">
        <v>45959</v>
      </c>
      <c r="F316" s="1">
        <v>45964</v>
      </c>
      <c r="G316" s="1">
        <v>45970</v>
      </c>
      <c r="H316" t="s">
        <v>17</v>
      </c>
      <c r="J316" s="1">
        <v>45982</v>
      </c>
      <c r="K316" s="7">
        <v>1</v>
      </c>
      <c r="L316" s="7">
        <v>5</v>
      </c>
      <c r="M316" s="7">
        <v>6</v>
      </c>
      <c r="N316" s="7">
        <v>4</v>
      </c>
    </row>
    <row r="317" spans="1:14" x14ac:dyDescent="0.5">
      <c r="A317" t="s">
        <v>343</v>
      </c>
      <c r="B317" t="s">
        <v>15</v>
      </c>
      <c r="C317" t="s">
        <v>16</v>
      </c>
      <c r="D317" s="1">
        <v>45949</v>
      </c>
      <c r="E317" s="1">
        <v>45954</v>
      </c>
      <c r="F317" s="1">
        <v>45958</v>
      </c>
      <c r="G317" s="1">
        <v>45963</v>
      </c>
      <c r="H317" t="s">
        <v>17</v>
      </c>
      <c r="J317" s="1">
        <v>45985</v>
      </c>
      <c r="K317" s="7">
        <v>5</v>
      </c>
      <c r="L317" s="7">
        <v>4</v>
      </c>
      <c r="M317" s="7">
        <v>5</v>
      </c>
      <c r="N317" s="7">
        <v>5</v>
      </c>
    </row>
    <row r="318" spans="1:14" x14ac:dyDescent="0.5">
      <c r="A318" t="s">
        <v>344</v>
      </c>
      <c r="B318" t="s">
        <v>15</v>
      </c>
      <c r="C318" t="s">
        <v>16</v>
      </c>
      <c r="D318" s="1">
        <v>45949</v>
      </c>
      <c r="E318" s="1">
        <v>45951</v>
      </c>
      <c r="F318" s="1">
        <v>45952</v>
      </c>
      <c r="G318" s="1">
        <v>45956</v>
      </c>
      <c r="H318" t="s">
        <v>17</v>
      </c>
      <c r="J318" s="1">
        <v>45967</v>
      </c>
      <c r="K318" s="7">
        <v>2</v>
      </c>
      <c r="L318" s="7">
        <v>1</v>
      </c>
      <c r="M318" s="7">
        <v>4</v>
      </c>
      <c r="N318" s="7">
        <v>9</v>
      </c>
    </row>
    <row r="319" spans="1:14" ht="36" x14ac:dyDescent="0.5">
      <c r="A319" t="s">
        <v>345</v>
      </c>
      <c r="B319" t="s">
        <v>19</v>
      </c>
      <c r="C319" t="s">
        <v>16</v>
      </c>
      <c r="D319" s="1">
        <v>45961</v>
      </c>
      <c r="E319" s="1">
        <v>45962</v>
      </c>
      <c r="F319" s="1">
        <v>45967</v>
      </c>
      <c r="G319" s="1">
        <v>45974</v>
      </c>
      <c r="H319" t="s">
        <v>23</v>
      </c>
      <c r="I319" s="2" t="s">
        <v>63</v>
      </c>
      <c r="K319" s="7">
        <v>1</v>
      </c>
      <c r="L319" s="7">
        <v>5</v>
      </c>
      <c r="M319" s="7">
        <v>7</v>
      </c>
    </row>
    <row r="320" spans="1:14" x14ac:dyDescent="0.5">
      <c r="A320" t="s">
        <v>346</v>
      </c>
      <c r="B320" t="s">
        <v>15</v>
      </c>
      <c r="C320" t="s">
        <v>16</v>
      </c>
      <c r="D320" s="1">
        <v>45931</v>
      </c>
      <c r="E320" s="1">
        <v>45933</v>
      </c>
      <c r="F320" s="1">
        <v>45937</v>
      </c>
      <c r="G320" s="1">
        <v>45939</v>
      </c>
      <c r="H320" t="s">
        <v>17</v>
      </c>
      <c r="J320" s="1">
        <v>45965</v>
      </c>
      <c r="K320" s="7">
        <v>2</v>
      </c>
      <c r="L320" s="7">
        <v>4</v>
      </c>
      <c r="M320" s="7">
        <v>2</v>
      </c>
      <c r="N320" s="7">
        <v>6</v>
      </c>
    </row>
    <row r="321" spans="1:14" ht="36" x14ac:dyDescent="0.5">
      <c r="A321" t="s">
        <v>347</v>
      </c>
      <c r="B321" t="s">
        <v>19</v>
      </c>
      <c r="C321" t="s">
        <v>16</v>
      </c>
      <c r="D321" s="1">
        <v>45955</v>
      </c>
      <c r="E321" s="1">
        <v>45959</v>
      </c>
      <c r="F321" s="1">
        <v>45960</v>
      </c>
      <c r="G321" s="1">
        <v>45962</v>
      </c>
      <c r="H321" t="s">
        <v>23</v>
      </c>
      <c r="I321" s="2" t="s">
        <v>33</v>
      </c>
      <c r="K321" s="7">
        <v>4</v>
      </c>
      <c r="L321" s="7">
        <v>1</v>
      </c>
      <c r="M321" s="7">
        <v>2</v>
      </c>
    </row>
    <row r="322" spans="1:14" x14ac:dyDescent="0.5">
      <c r="A322" t="s">
        <v>348</v>
      </c>
      <c r="B322" t="s">
        <v>19</v>
      </c>
      <c r="C322" t="s">
        <v>16</v>
      </c>
      <c r="D322" s="1">
        <v>45952</v>
      </c>
      <c r="E322" s="1">
        <v>45956</v>
      </c>
      <c r="F322" s="1">
        <v>45960</v>
      </c>
      <c r="G322" s="1">
        <v>45962</v>
      </c>
      <c r="H322" t="s">
        <v>17</v>
      </c>
      <c r="J322" s="1">
        <v>45990</v>
      </c>
      <c r="K322" s="7">
        <v>4</v>
      </c>
      <c r="L322" s="7">
        <v>4</v>
      </c>
      <c r="M322" s="7">
        <v>2</v>
      </c>
      <c r="N322" s="7">
        <v>4</v>
      </c>
    </row>
    <row r="323" spans="1:14" ht="36" x14ac:dyDescent="0.5">
      <c r="A323" t="s">
        <v>349</v>
      </c>
      <c r="B323" t="s">
        <v>21</v>
      </c>
      <c r="C323" t="s">
        <v>22</v>
      </c>
      <c r="D323" s="1">
        <v>45957</v>
      </c>
      <c r="H323" t="s">
        <v>23</v>
      </c>
      <c r="I323" s="2" t="s">
        <v>26</v>
      </c>
    </row>
    <row r="324" spans="1:14" ht="36" x14ac:dyDescent="0.5">
      <c r="A324" t="s">
        <v>350</v>
      </c>
      <c r="B324" t="s">
        <v>32</v>
      </c>
      <c r="C324" t="s">
        <v>16</v>
      </c>
      <c r="D324" s="1">
        <v>45939</v>
      </c>
      <c r="E324" s="1">
        <v>45944</v>
      </c>
      <c r="F324" s="1">
        <v>45946</v>
      </c>
      <c r="G324" s="1">
        <v>45953</v>
      </c>
      <c r="H324" t="s">
        <v>23</v>
      </c>
      <c r="I324" s="2" t="s">
        <v>63</v>
      </c>
      <c r="K324" s="7">
        <v>5</v>
      </c>
      <c r="L324" s="7">
        <v>2</v>
      </c>
      <c r="M324" s="7">
        <v>7</v>
      </c>
    </row>
    <row r="325" spans="1:14" x14ac:dyDescent="0.5">
      <c r="A325" t="s">
        <v>351</v>
      </c>
      <c r="B325" t="s">
        <v>32</v>
      </c>
      <c r="C325" t="s">
        <v>30</v>
      </c>
      <c r="D325" s="1">
        <v>45949</v>
      </c>
      <c r="E325" s="1">
        <v>45954</v>
      </c>
      <c r="F325" s="1">
        <v>45959</v>
      </c>
      <c r="G325" s="1">
        <v>45964</v>
      </c>
      <c r="H325" t="s">
        <v>17</v>
      </c>
      <c r="J325" s="1">
        <v>45990</v>
      </c>
      <c r="K325" s="7">
        <v>5</v>
      </c>
      <c r="L325" s="7">
        <v>5</v>
      </c>
      <c r="M325" s="7">
        <v>5</v>
      </c>
      <c r="N325" s="7">
        <v>2</v>
      </c>
    </row>
    <row r="326" spans="1:14" x14ac:dyDescent="0.5">
      <c r="A326" t="s">
        <v>352</v>
      </c>
      <c r="B326" t="s">
        <v>19</v>
      </c>
      <c r="C326" t="s">
        <v>30</v>
      </c>
      <c r="D326" s="1">
        <v>45932</v>
      </c>
      <c r="E326" s="1">
        <v>45937</v>
      </c>
      <c r="F326" s="1">
        <v>45941</v>
      </c>
      <c r="G326" s="1">
        <v>45943</v>
      </c>
      <c r="H326" t="s">
        <v>23</v>
      </c>
      <c r="I326" s="2" t="s">
        <v>24</v>
      </c>
      <c r="K326" s="7">
        <v>5</v>
      </c>
      <c r="L326" s="7">
        <v>4</v>
      </c>
      <c r="M326" s="7">
        <v>2</v>
      </c>
    </row>
    <row r="327" spans="1:14" x14ac:dyDescent="0.5">
      <c r="A327" t="s">
        <v>353</v>
      </c>
      <c r="B327" t="s">
        <v>21</v>
      </c>
      <c r="C327" t="s">
        <v>30</v>
      </c>
      <c r="D327" s="1">
        <v>45955</v>
      </c>
      <c r="E327" s="1">
        <v>45957</v>
      </c>
      <c r="F327" s="1">
        <v>45961</v>
      </c>
      <c r="G327" s="1">
        <v>45963</v>
      </c>
      <c r="H327" t="s">
        <v>17</v>
      </c>
      <c r="J327" s="1">
        <v>45991</v>
      </c>
      <c r="K327" s="7">
        <v>2</v>
      </c>
      <c r="L327" s="7">
        <v>4</v>
      </c>
      <c r="M327" s="7">
        <v>2</v>
      </c>
      <c r="N327" s="7">
        <v>10</v>
      </c>
    </row>
    <row r="328" spans="1:14" x14ac:dyDescent="0.5">
      <c r="A328" t="s">
        <v>354</v>
      </c>
      <c r="B328" t="s">
        <v>19</v>
      </c>
      <c r="C328" t="s">
        <v>16</v>
      </c>
      <c r="D328" s="1">
        <v>45955</v>
      </c>
      <c r="E328" s="1">
        <v>45958</v>
      </c>
      <c r="F328" s="1">
        <v>45963</v>
      </c>
      <c r="G328" s="1">
        <v>45966</v>
      </c>
      <c r="H328" t="s">
        <v>17</v>
      </c>
      <c r="J328" s="1">
        <v>45995</v>
      </c>
      <c r="K328" s="7">
        <v>3</v>
      </c>
      <c r="L328" s="7">
        <v>5</v>
      </c>
      <c r="M328" s="7">
        <v>3</v>
      </c>
      <c r="N328" s="7">
        <v>6</v>
      </c>
    </row>
    <row r="329" spans="1:14" x14ac:dyDescent="0.5">
      <c r="A329" t="s">
        <v>355</v>
      </c>
      <c r="B329" t="s">
        <v>19</v>
      </c>
      <c r="C329" t="s">
        <v>16</v>
      </c>
      <c r="D329" s="1">
        <v>45936</v>
      </c>
      <c r="E329" s="1">
        <v>45939</v>
      </c>
      <c r="F329" s="1">
        <v>45940</v>
      </c>
      <c r="G329" s="1">
        <v>45945</v>
      </c>
      <c r="H329" t="s">
        <v>17</v>
      </c>
      <c r="J329" s="1">
        <v>45959</v>
      </c>
      <c r="K329" s="7">
        <v>3</v>
      </c>
      <c r="L329" s="7">
        <v>1</v>
      </c>
      <c r="M329" s="7">
        <v>5</v>
      </c>
      <c r="N329" s="7">
        <v>7</v>
      </c>
    </row>
    <row r="330" spans="1:14" x14ac:dyDescent="0.5">
      <c r="A330" t="s">
        <v>356</v>
      </c>
      <c r="B330" t="s">
        <v>19</v>
      </c>
      <c r="C330" t="s">
        <v>16</v>
      </c>
      <c r="D330" s="1">
        <v>45946</v>
      </c>
      <c r="E330" s="1">
        <v>45949</v>
      </c>
      <c r="F330" s="1">
        <v>45954</v>
      </c>
      <c r="G330" s="1">
        <v>45959</v>
      </c>
      <c r="H330" t="s">
        <v>17</v>
      </c>
      <c r="J330" s="1">
        <v>45972</v>
      </c>
      <c r="K330" s="7">
        <v>3</v>
      </c>
      <c r="L330" s="7">
        <v>5</v>
      </c>
      <c r="M330" s="7">
        <v>5</v>
      </c>
      <c r="N330" s="7">
        <v>3</v>
      </c>
    </row>
    <row r="331" spans="1:14" x14ac:dyDescent="0.5">
      <c r="A331" t="s">
        <v>357</v>
      </c>
      <c r="B331" t="s">
        <v>21</v>
      </c>
      <c r="C331" t="s">
        <v>16</v>
      </c>
      <c r="D331" s="1">
        <v>45947</v>
      </c>
      <c r="E331" s="1">
        <v>45951</v>
      </c>
      <c r="F331" s="1">
        <v>45955</v>
      </c>
      <c r="G331" s="1">
        <v>45957</v>
      </c>
      <c r="H331" t="s">
        <v>17</v>
      </c>
      <c r="J331" s="1">
        <v>45981</v>
      </c>
      <c r="K331" s="7">
        <v>4</v>
      </c>
      <c r="L331" s="7">
        <v>4</v>
      </c>
      <c r="M331" s="7">
        <v>2</v>
      </c>
      <c r="N331" s="7">
        <v>2</v>
      </c>
    </row>
    <row r="332" spans="1:14" x14ac:dyDescent="0.5">
      <c r="A332" t="s">
        <v>358</v>
      </c>
      <c r="B332" t="s">
        <v>32</v>
      </c>
      <c r="C332" t="s">
        <v>30</v>
      </c>
      <c r="D332" s="1">
        <v>45951</v>
      </c>
      <c r="E332" s="1">
        <v>45955</v>
      </c>
      <c r="F332" s="1">
        <v>45958</v>
      </c>
      <c r="G332" s="1">
        <v>45963</v>
      </c>
      <c r="H332" t="s">
        <v>17</v>
      </c>
      <c r="J332" s="1">
        <v>45978</v>
      </c>
      <c r="K332" s="7">
        <v>4</v>
      </c>
      <c r="L332" s="7">
        <v>3</v>
      </c>
      <c r="M332" s="7">
        <v>5</v>
      </c>
      <c r="N332" s="7">
        <v>1</v>
      </c>
    </row>
    <row r="333" spans="1:14" x14ac:dyDescent="0.5">
      <c r="A333" t="s">
        <v>359</v>
      </c>
      <c r="B333" t="s">
        <v>21</v>
      </c>
      <c r="C333" t="s">
        <v>16</v>
      </c>
      <c r="D333" s="1">
        <v>45945</v>
      </c>
      <c r="E333" s="1">
        <v>45948</v>
      </c>
      <c r="F333" s="1">
        <v>45949</v>
      </c>
      <c r="G333" s="1">
        <v>45952</v>
      </c>
      <c r="H333" t="s">
        <v>17</v>
      </c>
      <c r="J333" s="1">
        <v>45967</v>
      </c>
      <c r="K333" s="7">
        <v>3</v>
      </c>
      <c r="L333" s="7">
        <v>1</v>
      </c>
      <c r="M333" s="7">
        <v>3</v>
      </c>
      <c r="N333" s="7">
        <v>0</v>
      </c>
    </row>
    <row r="334" spans="1:14" x14ac:dyDescent="0.5">
      <c r="A334" t="s">
        <v>360</v>
      </c>
      <c r="B334" t="s">
        <v>15</v>
      </c>
      <c r="C334" t="s">
        <v>30</v>
      </c>
      <c r="D334" s="1">
        <v>45960</v>
      </c>
      <c r="E334" s="1">
        <v>45965</v>
      </c>
      <c r="F334" s="1">
        <v>45969</v>
      </c>
      <c r="G334" s="1">
        <v>45976</v>
      </c>
      <c r="H334" t="s">
        <v>17</v>
      </c>
      <c r="J334" s="1">
        <v>45992</v>
      </c>
      <c r="K334" s="7">
        <v>5</v>
      </c>
      <c r="L334" s="7">
        <v>4</v>
      </c>
      <c r="M334" s="7">
        <v>7</v>
      </c>
      <c r="N334" s="7">
        <v>2</v>
      </c>
    </row>
    <row r="335" spans="1:14" x14ac:dyDescent="0.5">
      <c r="A335" t="s">
        <v>361</v>
      </c>
      <c r="B335" t="s">
        <v>21</v>
      </c>
      <c r="C335" t="s">
        <v>16</v>
      </c>
      <c r="D335" s="1">
        <v>45939</v>
      </c>
      <c r="E335" s="1">
        <v>45940</v>
      </c>
      <c r="F335" s="1">
        <v>45943</v>
      </c>
      <c r="G335" s="1">
        <v>45946</v>
      </c>
      <c r="H335" t="s">
        <v>17</v>
      </c>
      <c r="J335" s="1">
        <v>45962</v>
      </c>
      <c r="K335" s="7">
        <v>1</v>
      </c>
      <c r="L335" s="7">
        <v>3</v>
      </c>
      <c r="M335" s="7">
        <v>3</v>
      </c>
      <c r="N335" s="7">
        <v>2</v>
      </c>
    </row>
    <row r="336" spans="1:14" x14ac:dyDescent="0.5">
      <c r="A336" t="s">
        <v>362</v>
      </c>
      <c r="B336" t="s">
        <v>21</v>
      </c>
      <c r="C336" t="s">
        <v>30</v>
      </c>
      <c r="D336" s="1">
        <v>45936</v>
      </c>
      <c r="E336" s="1">
        <v>45939</v>
      </c>
      <c r="F336" s="1">
        <v>45940</v>
      </c>
      <c r="G336" s="1">
        <v>45947</v>
      </c>
      <c r="H336" t="s">
        <v>17</v>
      </c>
      <c r="J336" s="1">
        <v>45961</v>
      </c>
      <c r="K336" s="7">
        <v>3</v>
      </c>
      <c r="L336" s="7">
        <v>1</v>
      </c>
      <c r="M336" s="7">
        <v>7</v>
      </c>
      <c r="N336" s="7">
        <v>1</v>
      </c>
    </row>
    <row r="337" spans="1:14" x14ac:dyDescent="0.5">
      <c r="A337" t="s">
        <v>363</v>
      </c>
      <c r="B337" t="s">
        <v>21</v>
      </c>
      <c r="C337" t="s">
        <v>22</v>
      </c>
      <c r="D337" s="1">
        <v>45949</v>
      </c>
      <c r="H337" t="s">
        <v>23</v>
      </c>
      <c r="I337" s="2" t="s">
        <v>101</v>
      </c>
    </row>
    <row r="338" spans="1:14" x14ac:dyDescent="0.5">
      <c r="A338" t="s">
        <v>364</v>
      </c>
      <c r="B338" t="s">
        <v>21</v>
      </c>
      <c r="C338" t="s">
        <v>30</v>
      </c>
      <c r="D338" s="1">
        <v>45944</v>
      </c>
      <c r="E338" s="1">
        <v>45945</v>
      </c>
      <c r="F338" s="1">
        <v>45947</v>
      </c>
      <c r="G338" s="1">
        <v>45951</v>
      </c>
      <c r="H338" t="s">
        <v>17</v>
      </c>
      <c r="J338" s="1">
        <v>45962</v>
      </c>
      <c r="K338" s="7">
        <v>1</v>
      </c>
      <c r="L338" s="7">
        <v>2</v>
      </c>
      <c r="M338" s="7">
        <v>4</v>
      </c>
      <c r="N338" s="7">
        <v>7</v>
      </c>
    </row>
    <row r="339" spans="1:14" ht="36" x14ac:dyDescent="0.5">
      <c r="A339" t="s">
        <v>365</v>
      </c>
      <c r="B339" t="s">
        <v>32</v>
      </c>
      <c r="C339" t="s">
        <v>22</v>
      </c>
      <c r="D339" s="1">
        <v>45951</v>
      </c>
      <c r="H339" t="s">
        <v>23</v>
      </c>
      <c r="I339" s="2" t="s">
        <v>63</v>
      </c>
    </row>
    <row r="340" spans="1:14" x14ac:dyDescent="0.5">
      <c r="A340" t="s">
        <v>366</v>
      </c>
      <c r="B340" t="s">
        <v>15</v>
      </c>
      <c r="C340" t="s">
        <v>16</v>
      </c>
      <c r="D340" s="1">
        <v>45957</v>
      </c>
      <c r="E340" s="1">
        <v>45960</v>
      </c>
      <c r="F340" s="1">
        <v>45965</v>
      </c>
      <c r="G340" s="1">
        <v>45968</v>
      </c>
      <c r="H340" t="s">
        <v>17</v>
      </c>
      <c r="J340" s="1">
        <v>45991</v>
      </c>
      <c r="K340" s="7">
        <v>3</v>
      </c>
      <c r="L340" s="7">
        <v>5</v>
      </c>
      <c r="M340" s="7">
        <v>3</v>
      </c>
      <c r="N340" s="7">
        <v>3</v>
      </c>
    </row>
    <row r="341" spans="1:14" ht="36" x14ac:dyDescent="0.5">
      <c r="A341" t="s">
        <v>367</v>
      </c>
      <c r="B341" t="s">
        <v>32</v>
      </c>
      <c r="C341" t="s">
        <v>22</v>
      </c>
      <c r="D341" s="1">
        <v>45946</v>
      </c>
      <c r="H341" t="s">
        <v>23</v>
      </c>
      <c r="I341" s="2" t="s">
        <v>63</v>
      </c>
    </row>
    <row r="342" spans="1:14" x14ac:dyDescent="0.5">
      <c r="A342" t="s">
        <v>368</v>
      </c>
      <c r="B342" t="s">
        <v>32</v>
      </c>
      <c r="C342" t="s">
        <v>16</v>
      </c>
      <c r="D342" s="1">
        <v>45933</v>
      </c>
      <c r="E342" s="1">
        <v>45934</v>
      </c>
      <c r="F342" s="1">
        <v>45935</v>
      </c>
      <c r="G342" s="1">
        <v>45939</v>
      </c>
      <c r="H342" t="s">
        <v>17</v>
      </c>
      <c r="J342" s="1">
        <v>45951</v>
      </c>
      <c r="K342" s="7">
        <v>1</v>
      </c>
      <c r="L342" s="7">
        <v>1</v>
      </c>
      <c r="M342" s="7">
        <v>4</v>
      </c>
      <c r="N342" s="7">
        <v>10</v>
      </c>
    </row>
    <row r="343" spans="1:14" x14ac:dyDescent="0.5">
      <c r="A343" t="s">
        <v>369</v>
      </c>
      <c r="B343" t="s">
        <v>21</v>
      </c>
      <c r="C343" t="s">
        <v>16</v>
      </c>
      <c r="D343" s="1">
        <v>45946</v>
      </c>
      <c r="E343" s="1">
        <v>45951</v>
      </c>
      <c r="F343" s="1">
        <v>45952</v>
      </c>
      <c r="G343" s="1">
        <v>45954</v>
      </c>
      <c r="H343" t="s">
        <v>17</v>
      </c>
      <c r="J343" s="1">
        <v>45977</v>
      </c>
      <c r="K343" s="7">
        <v>5</v>
      </c>
      <c r="L343" s="7">
        <v>1</v>
      </c>
      <c r="M343" s="7">
        <v>2</v>
      </c>
      <c r="N343" s="7">
        <v>1</v>
      </c>
    </row>
    <row r="344" spans="1:14" x14ac:dyDescent="0.5">
      <c r="A344" t="s">
        <v>370</v>
      </c>
      <c r="B344" t="s">
        <v>19</v>
      </c>
      <c r="C344" t="s">
        <v>16</v>
      </c>
      <c r="D344" s="1">
        <v>45942</v>
      </c>
      <c r="E344" s="1">
        <v>45946</v>
      </c>
      <c r="F344" s="1">
        <v>45950</v>
      </c>
      <c r="G344" s="1">
        <v>45957</v>
      </c>
      <c r="H344" t="s">
        <v>17</v>
      </c>
      <c r="J344" s="1">
        <v>45973</v>
      </c>
      <c r="K344" s="7">
        <v>4</v>
      </c>
      <c r="L344" s="7">
        <v>4</v>
      </c>
      <c r="M344" s="7">
        <v>7</v>
      </c>
      <c r="N344" s="7">
        <v>4</v>
      </c>
    </row>
    <row r="345" spans="1:14" x14ac:dyDescent="0.5">
      <c r="A345" t="s">
        <v>371</v>
      </c>
      <c r="B345" t="s">
        <v>19</v>
      </c>
      <c r="C345" t="s">
        <v>16</v>
      </c>
      <c r="D345" s="1">
        <v>45944</v>
      </c>
      <c r="E345" s="1">
        <v>45947</v>
      </c>
      <c r="F345" s="1">
        <v>45950</v>
      </c>
      <c r="G345" s="1">
        <v>45954</v>
      </c>
      <c r="H345" t="s">
        <v>17</v>
      </c>
      <c r="J345" s="1">
        <v>45984</v>
      </c>
      <c r="K345" s="7">
        <v>3</v>
      </c>
      <c r="L345" s="7">
        <v>3</v>
      </c>
      <c r="M345" s="7">
        <v>4</v>
      </c>
      <c r="N345" s="7">
        <v>8</v>
      </c>
    </row>
    <row r="346" spans="1:14" x14ac:dyDescent="0.5">
      <c r="A346" t="s">
        <v>372</v>
      </c>
      <c r="B346" t="s">
        <v>32</v>
      </c>
      <c r="C346" t="s">
        <v>16</v>
      </c>
      <c r="D346" s="1">
        <v>45941</v>
      </c>
      <c r="E346" s="1">
        <v>45944</v>
      </c>
      <c r="F346" s="1">
        <v>45945</v>
      </c>
      <c r="G346" s="1">
        <v>45949</v>
      </c>
      <c r="H346" t="s">
        <v>17</v>
      </c>
      <c r="J346" s="1">
        <v>45963</v>
      </c>
      <c r="K346" s="7">
        <v>3</v>
      </c>
      <c r="L346" s="7">
        <v>1</v>
      </c>
      <c r="M346" s="7">
        <v>4</v>
      </c>
      <c r="N346" s="7">
        <v>3</v>
      </c>
    </row>
    <row r="347" spans="1:14" x14ac:dyDescent="0.5">
      <c r="A347" t="s">
        <v>373</v>
      </c>
      <c r="B347" t="s">
        <v>32</v>
      </c>
      <c r="C347" t="s">
        <v>16</v>
      </c>
      <c r="D347" s="1">
        <v>45941</v>
      </c>
      <c r="E347" s="1">
        <v>45946</v>
      </c>
      <c r="F347" s="1">
        <v>45951</v>
      </c>
      <c r="G347" s="1">
        <v>45953</v>
      </c>
      <c r="H347" t="s">
        <v>17</v>
      </c>
      <c r="J347" s="1">
        <v>45982</v>
      </c>
      <c r="K347" s="7">
        <v>5</v>
      </c>
      <c r="L347" s="7">
        <v>5</v>
      </c>
      <c r="M347" s="7">
        <v>2</v>
      </c>
      <c r="N347" s="7">
        <v>6</v>
      </c>
    </row>
    <row r="348" spans="1:14" x14ac:dyDescent="0.5">
      <c r="A348" t="s">
        <v>374</v>
      </c>
      <c r="B348" t="s">
        <v>21</v>
      </c>
      <c r="C348" t="s">
        <v>16</v>
      </c>
      <c r="D348" s="1">
        <v>45952</v>
      </c>
      <c r="E348" s="1">
        <v>45954</v>
      </c>
      <c r="F348" s="1">
        <v>45955</v>
      </c>
      <c r="G348" s="1">
        <v>45959</v>
      </c>
      <c r="H348" t="s">
        <v>17</v>
      </c>
      <c r="J348" s="1">
        <v>45977</v>
      </c>
      <c r="K348" s="7">
        <v>2</v>
      </c>
      <c r="L348" s="7">
        <v>1</v>
      </c>
      <c r="M348" s="7">
        <v>4</v>
      </c>
      <c r="N348" s="7">
        <v>4</v>
      </c>
    </row>
    <row r="349" spans="1:14" x14ac:dyDescent="0.5">
      <c r="A349" t="s">
        <v>375</v>
      </c>
      <c r="B349" t="s">
        <v>32</v>
      </c>
      <c r="C349" t="s">
        <v>30</v>
      </c>
      <c r="D349" s="1">
        <v>45934</v>
      </c>
      <c r="E349" s="1">
        <v>45937</v>
      </c>
      <c r="F349" s="1">
        <v>45938</v>
      </c>
      <c r="G349" s="1">
        <v>45945</v>
      </c>
      <c r="H349" t="s">
        <v>17</v>
      </c>
      <c r="J349" s="1">
        <v>45965</v>
      </c>
      <c r="K349" s="7">
        <v>3</v>
      </c>
      <c r="L349" s="7">
        <v>1</v>
      </c>
      <c r="M349" s="7">
        <v>7</v>
      </c>
      <c r="N349" s="7">
        <v>8</v>
      </c>
    </row>
    <row r="350" spans="1:14" x14ac:dyDescent="0.5">
      <c r="A350" t="s">
        <v>376</v>
      </c>
      <c r="B350" t="s">
        <v>21</v>
      </c>
      <c r="C350" t="s">
        <v>16</v>
      </c>
      <c r="D350" s="1">
        <v>45958</v>
      </c>
      <c r="E350" s="1">
        <v>45959</v>
      </c>
      <c r="F350" s="1">
        <v>45963</v>
      </c>
      <c r="G350" s="1">
        <v>45970</v>
      </c>
      <c r="H350" t="s">
        <v>17</v>
      </c>
      <c r="J350" s="1">
        <v>45982</v>
      </c>
      <c r="K350" s="7">
        <v>1</v>
      </c>
      <c r="L350" s="7">
        <v>4</v>
      </c>
      <c r="M350" s="7">
        <v>7</v>
      </c>
      <c r="N350" s="7">
        <v>4</v>
      </c>
    </row>
    <row r="351" spans="1:14" x14ac:dyDescent="0.5">
      <c r="A351" t="s">
        <v>377</v>
      </c>
      <c r="B351" t="s">
        <v>19</v>
      </c>
      <c r="C351" t="s">
        <v>16</v>
      </c>
      <c r="D351" s="1">
        <v>45936</v>
      </c>
      <c r="E351" s="1">
        <v>45941</v>
      </c>
      <c r="F351" s="1">
        <v>45942</v>
      </c>
      <c r="G351" s="1">
        <v>45945</v>
      </c>
      <c r="H351" t="s">
        <v>17</v>
      </c>
      <c r="J351" s="1">
        <v>45957</v>
      </c>
      <c r="K351" s="7">
        <v>5</v>
      </c>
      <c r="L351" s="7">
        <v>1</v>
      </c>
      <c r="M351" s="7">
        <v>3</v>
      </c>
      <c r="N351" s="7">
        <v>6</v>
      </c>
    </row>
    <row r="352" spans="1:14" x14ac:dyDescent="0.5">
      <c r="A352" t="s">
        <v>378</v>
      </c>
      <c r="B352" t="s">
        <v>19</v>
      </c>
      <c r="C352" t="s">
        <v>16</v>
      </c>
      <c r="D352" s="1">
        <v>45941</v>
      </c>
      <c r="E352" s="1">
        <v>45943</v>
      </c>
      <c r="F352" s="1">
        <v>45946</v>
      </c>
      <c r="G352" s="1">
        <v>45948</v>
      </c>
      <c r="H352" t="s">
        <v>23</v>
      </c>
      <c r="I352" s="2" t="s">
        <v>24</v>
      </c>
      <c r="K352" s="7">
        <v>2</v>
      </c>
      <c r="L352" s="7">
        <v>3</v>
      </c>
      <c r="M352" s="7">
        <v>2</v>
      </c>
    </row>
    <row r="353" spans="1:14" ht="36" x14ac:dyDescent="0.5">
      <c r="A353" t="s">
        <v>379</v>
      </c>
      <c r="B353" t="s">
        <v>15</v>
      </c>
      <c r="C353" t="s">
        <v>16</v>
      </c>
      <c r="D353" s="1">
        <v>45944</v>
      </c>
      <c r="E353" s="1">
        <v>45947</v>
      </c>
      <c r="F353" s="1">
        <v>45951</v>
      </c>
      <c r="G353" s="1">
        <v>45956</v>
      </c>
      <c r="H353" t="s">
        <v>23</v>
      </c>
      <c r="I353" s="2" t="s">
        <v>33</v>
      </c>
      <c r="K353" s="7">
        <v>3</v>
      </c>
      <c r="L353" s="7">
        <v>4</v>
      </c>
      <c r="M353" s="7">
        <v>5</v>
      </c>
    </row>
    <row r="354" spans="1:14" x14ac:dyDescent="0.5">
      <c r="A354" t="s">
        <v>380</v>
      </c>
      <c r="B354" t="s">
        <v>19</v>
      </c>
      <c r="C354" t="s">
        <v>16</v>
      </c>
      <c r="D354" s="1">
        <v>45953</v>
      </c>
      <c r="E354" s="1">
        <v>45956</v>
      </c>
      <c r="F354" s="1">
        <v>45958</v>
      </c>
      <c r="G354" s="1">
        <v>45965</v>
      </c>
      <c r="H354" t="s">
        <v>17</v>
      </c>
      <c r="J354" s="1">
        <v>45987</v>
      </c>
      <c r="K354" s="7">
        <v>3</v>
      </c>
      <c r="L354" s="7">
        <v>2</v>
      </c>
      <c r="M354" s="7">
        <v>7</v>
      </c>
      <c r="N354" s="7">
        <v>5</v>
      </c>
    </row>
    <row r="355" spans="1:14" ht="36" x14ac:dyDescent="0.5">
      <c r="A355" t="s">
        <v>381</v>
      </c>
      <c r="B355" t="s">
        <v>32</v>
      </c>
      <c r="C355" t="s">
        <v>22</v>
      </c>
      <c r="D355" s="1">
        <v>45946</v>
      </c>
      <c r="H355" t="s">
        <v>23</v>
      </c>
      <c r="I355" s="2" t="s">
        <v>26</v>
      </c>
    </row>
    <row r="356" spans="1:14" x14ac:dyDescent="0.5">
      <c r="A356" t="s">
        <v>382</v>
      </c>
      <c r="B356" t="s">
        <v>19</v>
      </c>
      <c r="C356" t="s">
        <v>30</v>
      </c>
      <c r="D356" s="1">
        <v>45940</v>
      </c>
      <c r="E356" s="1">
        <v>45944</v>
      </c>
      <c r="F356" s="1">
        <v>45946</v>
      </c>
      <c r="G356" s="1">
        <v>45950</v>
      </c>
      <c r="H356" t="s">
        <v>17</v>
      </c>
      <c r="J356" s="1">
        <v>45977</v>
      </c>
      <c r="K356" s="7">
        <v>4</v>
      </c>
      <c r="L356" s="7">
        <v>2</v>
      </c>
      <c r="M356" s="7">
        <v>4</v>
      </c>
      <c r="N356" s="7">
        <v>2</v>
      </c>
    </row>
    <row r="357" spans="1:14" x14ac:dyDescent="0.5">
      <c r="A357" t="s">
        <v>383</v>
      </c>
      <c r="B357" t="s">
        <v>21</v>
      </c>
      <c r="C357" t="s">
        <v>16</v>
      </c>
      <c r="D357" s="1">
        <v>45952</v>
      </c>
      <c r="E357" s="1">
        <v>45954</v>
      </c>
      <c r="F357" s="1">
        <v>45958</v>
      </c>
      <c r="G357" s="1">
        <v>45965</v>
      </c>
      <c r="H357" t="s">
        <v>17</v>
      </c>
      <c r="J357" s="1">
        <v>45987</v>
      </c>
      <c r="K357" s="7">
        <v>2</v>
      </c>
      <c r="L357" s="7">
        <v>4</v>
      </c>
      <c r="M357" s="7">
        <v>7</v>
      </c>
      <c r="N357" s="7">
        <v>3</v>
      </c>
    </row>
    <row r="358" spans="1:14" x14ac:dyDescent="0.5">
      <c r="A358" t="s">
        <v>384</v>
      </c>
      <c r="B358" t="s">
        <v>19</v>
      </c>
      <c r="C358" t="s">
        <v>16</v>
      </c>
      <c r="D358" s="1">
        <v>45961</v>
      </c>
      <c r="E358" s="1">
        <v>45966</v>
      </c>
      <c r="F358" s="1">
        <v>45969</v>
      </c>
      <c r="G358" s="1">
        <v>45976</v>
      </c>
      <c r="H358" t="s">
        <v>17</v>
      </c>
      <c r="J358" s="1">
        <v>46003</v>
      </c>
      <c r="K358" s="7">
        <v>5</v>
      </c>
      <c r="L358" s="7">
        <v>3</v>
      </c>
      <c r="M358" s="7">
        <v>7</v>
      </c>
      <c r="N358" s="7">
        <v>10</v>
      </c>
    </row>
    <row r="359" spans="1:14" x14ac:dyDescent="0.5">
      <c r="A359" t="s">
        <v>385</v>
      </c>
      <c r="B359" t="s">
        <v>15</v>
      </c>
      <c r="C359" t="s">
        <v>16</v>
      </c>
      <c r="D359" s="1">
        <v>45943</v>
      </c>
      <c r="E359" s="1">
        <v>45944</v>
      </c>
      <c r="F359" s="1">
        <v>45948</v>
      </c>
      <c r="G359" s="1">
        <v>45951</v>
      </c>
      <c r="H359" t="s">
        <v>17</v>
      </c>
      <c r="J359" s="1">
        <v>45971</v>
      </c>
      <c r="K359" s="7">
        <v>1</v>
      </c>
      <c r="L359" s="7">
        <v>4</v>
      </c>
      <c r="M359" s="7">
        <v>3</v>
      </c>
      <c r="N359" s="7">
        <v>3</v>
      </c>
    </row>
    <row r="360" spans="1:14" x14ac:dyDescent="0.5">
      <c r="A360" t="s">
        <v>386</v>
      </c>
      <c r="B360" t="s">
        <v>19</v>
      </c>
      <c r="C360" t="s">
        <v>22</v>
      </c>
      <c r="D360" s="1">
        <v>45957</v>
      </c>
      <c r="H360" t="s">
        <v>23</v>
      </c>
      <c r="I360" s="2" t="s">
        <v>24</v>
      </c>
    </row>
    <row r="361" spans="1:14" x14ac:dyDescent="0.5">
      <c r="A361" t="s">
        <v>387</v>
      </c>
      <c r="B361" t="s">
        <v>21</v>
      </c>
      <c r="C361" t="s">
        <v>30</v>
      </c>
      <c r="D361" s="1">
        <v>45955</v>
      </c>
      <c r="E361" s="1">
        <v>45958</v>
      </c>
      <c r="F361" s="1">
        <v>45962</v>
      </c>
      <c r="G361" s="1">
        <v>45967</v>
      </c>
      <c r="H361" t="s">
        <v>17</v>
      </c>
      <c r="J361" s="1">
        <v>45985</v>
      </c>
      <c r="K361" s="7">
        <v>3</v>
      </c>
      <c r="L361" s="7">
        <v>4</v>
      </c>
      <c r="M361" s="7">
        <v>5</v>
      </c>
      <c r="N361" s="7">
        <v>5</v>
      </c>
    </row>
    <row r="362" spans="1:14" x14ac:dyDescent="0.5">
      <c r="A362" t="s">
        <v>388</v>
      </c>
      <c r="B362" t="s">
        <v>21</v>
      </c>
      <c r="C362" t="s">
        <v>16</v>
      </c>
      <c r="D362" s="1">
        <v>45948</v>
      </c>
      <c r="E362" s="1">
        <v>45953</v>
      </c>
      <c r="F362" s="1">
        <v>45957</v>
      </c>
      <c r="G362" s="1">
        <v>45964</v>
      </c>
      <c r="H362" t="s">
        <v>17</v>
      </c>
      <c r="J362" s="1">
        <v>45990</v>
      </c>
      <c r="K362" s="7">
        <v>5</v>
      </c>
      <c r="L362" s="7">
        <v>4</v>
      </c>
      <c r="M362" s="7">
        <v>7</v>
      </c>
      <c r="N362" s="7">
        <v>8</v>
      </c>
    </row>
    <row r="363" spans="1:14" x14ac:dyDescent="0.5">
      <c r="A363" t="s">
        <v>389</v>
      </c>
      <c r="B363" t="s">
        <v>32</v>
      </c>
      <c r="C363" t="s">
        <v>16</v>
      </c>
      <c r="D363" s="1">
        <v>45932</v>
      </c>
      <c r="E363" s="1">
        <v>45936</v>
      </c>
      <c r="F363" s="1">
        <v>45940</v>
      </c>
      <c r="G363" s="1">
        <v>45942</v>
      </c>
      <c r="H363" t="s">
        <v>17</v>
      </c>
      <c r="J363" s="1">
        <v>45966</v>
      </c>
      <c r="K363" s="7">
        <v>4</v>
      </c>
      <c r="L363" s="7">
        <v>4</v>
      </c>
      <c r="M363" s="7">
        <v>2</v>
      </c>
      <c r="N363" s="7">
        <v>0</v>
      </c>
    </row>
    <row r="364" spans="1:14" x14ac:dyDescent="0.5">
      <c r="A364" t="s">
        <v>390</v>
      </c>
      <c r="B364" t="s">
        <v>19</v>
      </c>
      <c r="C364" t="s">
        <v>16</v>
      </c>
      <c r="D364" s="1">
        <v>45945</v>
      </c>
      <c r="E364" s="1">
        <v>45948</v>
      </c>
      <c r="F364" s="1">
        <v>45949</v>
      </c>
      <c r="G364" s="1">
        <v>45956</v>
      </c>
      <c r="H364" t="s">
        <v>17</v>
      </c>
      <c r="J364" s="1">
        <v>45966</v>
      </c>
      <c r="K364" s="7">
        <v>3</v>
      </c>
      <c r="L364" s="7">
        <v>1</v>
      </c>
      <c r="M364" s="7">
        <v>7</v>
      </c>
      <c r="N364" s="7">
        <v>1</v>
      </c>
    </row>
    <row r="365" spans="1:14" x14ac:dyDescent="0.5">
      <c r="A365" t="s">
        <v>391</v>
      </c>
      <c r="B365" t="s">
        <v>21</v>
      </c>
      <c r="C365" t="s">
        <v>16</v>
      </c>
      <c r="D365" s="1">
        <v>45933</v>
      </c>
      <c r="E365" s="1">
        <v>45935</v>
      </c>
      <c r="F365" s="1">
        <v>45940</v>
      </c>
      <c r="G365" s="1">
        <v>45942</v>
      </c>
      <c r="H365" t="s">
        <v>17</v>
      </c>
      <c r="J365" s="1">
        <v>45971</v>
      </c>
      <c r="K365" s="7">
        <v>2</v>
      </c>
      <c r="L365" s="7">
        <v>5</v>
      </c>
      <c r="M365" s="7">
        <v>2</v>
      </c>
      <c r="N365" s="7">
        <v>4</v>
      </c>
    </row>
    <row r="366" spans="1:14" x14ac:dyDescent="0.5">
      <c r="A366" t="s">
        <v>392</v>
      </c>
      <c r="B366" t="s">
        <v>15</v>
      </c>
      <c r="C366" t="s">
        <v>16</v>
      </c>
      <c r="D366" s="1">
        <v>45941</v>
      </c>
      <c r="E366" s="1">
        <v>45946</v>
      </c>
      <c r="F366" s="1">
        <v>45948</v>
      </c>
      <c r="G366" s="1">
        <v>45950</v>
      </c>
      <c r="H366" t="s">
        <v>17</v>
      </c>
      <c r="J366" s="1">
        <v>45978</v>
      </c>
      <c r="K366" s="7">
        <v>5</v>
      </c>
      <c r="L366" s="7">
        <v>2</v>
      </c>
      <c r="M366" s="7">
        <v>2</v>
      </c>
      <c r="N366" s="7">
        <v>5</v>
      </c>
    </row>
    <row r="367" spans="1:14" x14ac:dyDescent="0.5">
      <c r="A367" t="s">
        <v>393</v>
      </c>
      <c r="B367" t="s">
        <v>32</v>
      </c>
      <c r="C367" t="s">
        <v>16</v>
      </c>
      <c r="D367" s="1">
        <v>45939</v>
      </c>
      <c r="E367" s="1">
        <v>45940</v>
      </c>
      <c r="F367" s="1">
        <v>45943</v>
      </c>
      <c r="G367" s="1">
        <v>45946</v>
      </c>
      <c r="H367" t="s">
        <v>17</v>
      </c>
      <c r="J367" s="1">
        <v>45972</v>
      </c>
      <c r="K367" s="7">
        <v>1</v>
      </c>
      <c r="L367" s="7">
        <v>3</v>
      </c>
      <c r="M367" s="7">
        <v>3</v>
      </c>
      <c r="N367" s="7">
        <v>10</v>
      </c>
    </row>
    <row r="368" spans="1:14" x14ac:dyDescent="0.5">
      <c r="A368" t="s">
        <v>394</v>
      </c>
      <c r="B368" t="s">
        <v>15</v>
      </c>
      <c r="C368" t="s">
        <v>16</v>
      </c>
      <c r="D368" s="1">
        <v>45941</v>
      </c>
      <c r="E368" s="1">
        <v>45945</v>
      </c>
      <c r="F368" s="1">
        <v>45946</v>
      </c>
      <c r="G368" s="1">
        <v>45951</v>
      </c>
      <c r="H368" t="s">
        <v>17</v>
      </c>
      <c r="J368" s="1">
        <v>45974</v>
      </c>
      <c r="K368" s="7">
        <v>4</v>
      </c>
      <c r="L368" s="7">
        <v>1</v>
      </c>
      <c r="M368" s="7">
        <v>5</v>
      </c>
      <c r="N368" s="7">
        <v>3</v>
      </c>
    </row>
    <row r="369" spans="1:14" ht="36" x14ac:dyDescent="0.5">
      <c r="A369" t="s">
        <v>395</v>
      </c>
      <c r="B369" t="s">
        <v>19</v>
      </c>
      <c r="C369" t="s">
        <v>30</v>
      </c>
      <c r="D369" s="1">
        <v>45934</v>
      </c>
      <c r="E369" s="1">
        <v>45939</v>
      </c>
      <c r="F369" s="1">
        <v>45941</v>
      </c>
      <c r="G369" s="1">
        <v>45943</v>
      </c>
      <c r="H369" t="s">
        <v>23</v>
      </c>
      <c r="I369" s="2" t="s">
        <v>26</v>
      </c>
      <c r="K369" s="7">
        <v>5</v>
      </c>
      <c r="L369" s="7">
        <v>2</v>
      </c>
      <c r="M369" s="7">
        <v>2</v>
      </c>
    </row>
    <row r="370" spans="1:14" x14ac:dyDescent="0.5">
      <c r="A370" t="s">
        <v>396</v>
      </c>
      <c r="B370" t="s">
        <v>19</v>
      </c>
      <c r="C370" t="s">
        <v>16</v>
      </c>
      <c r="D370" s="1">
        <v>45955</v>
      </c>
      <c r="E370" s="1">
        <v>45958</v>
      </c>
      <c r="F370" s="1">
        <v>45963</v>
      </c>
      <c r="G370" s="1">
        <v>45966</v>
      </c>
      <c r="H370" t="s">
        <v>17</v>
      </c>
      <c r="J370" s="1">
        <v>45979</v>
      </c>
      <c r="K370" s="7">
        <v>3</v>
      </c>
      <c r="L370" s="7">
        <v>5</v>
      </c>
      <c r="M370" s="7">
        <v>3</v>
      </c>
      <c r="N370" s="7">
        <v>10</v>
      </c>
    </row>
    <row r="371" spans="1:14" x14ac:dyDescent="0.5">
      <c r="A371" t="s">
        <v>397</v>
      </c>
      <c r="B371" t="s">
        <v>19</v>
      </c>
      <c r="C371" t="s">
        <v>30</v>
      </c>
      <c r="D371" s="1">
        <v>45943</v>
      </c>
      <c r="E371" s="1">
        <v>45944</v>
      </c>
      <c r="F371" s="1">
        <v>45948</v>
      </c>
      <c r="G371" s="1">
        <v>45954</v>
      </c>
      <c r="H371" t="s">
        <v>17</v>
      </c>
      <c r="J371" s="1">
        <v>45977</v>
      </c>
      <c r="K371" s="7">
        <v>1</v>
      </c>
      <c r="L371" s="7">
        <v>4</v>
      </c>
      <c r="M371" s="7">
        <v>6</v>
      </c>
      <c r="N371" s="7">
        <v>4</v>
      </c>
    </row>
    <row r="372" spans="1:14" x14ac:dyDescent="0.5">
      <c r="A372" t="s">
        <v>398</v>
      </c>
      <c r="B372" t="s">
        <v>32</v>
      </c>
      <c r="C372" t="s">
        <v>16</v>
      </c>
      <c r="D372" s="1">
        <v>45958</v>
      </c>
      <c r="E372" s="1">
        <v>45961</v>
      </c>
      <c r="F372" s="1">
        <v>45966</v>
      </c>
      <c r="G372" s="1">
        <v>45969</v>
      </c>
      <c r="H372" t="s">
        <v>17</v>
      </c>
      <c r="J372" s="1">
        <v>45983</v>
      </c>
      <c r="K372" s="7">
        <v>3</v>
      </c>
      <c r="L372" s="7">
        <v>5</v>
      </c>
      <c r="M372" s="7">
        <v>3</v>
      </c>
      <c r="N372" s="7">
        <v>7</v>
      </c>
    </row>
    <row r="373" spans="1:14" x14ac:dyDescent="0.5">
      <c r="A373" t="s">
        <v>399</v>
      </c>
      <c r="B373" t="s">
        <v>21</v>
      </c>
      <c r="C373" t="s">
        <v>16</v>
      </c>
      <c r="D373" s="1">
        <v>45947</v>
      </c>
      <c r="E373" s="1">
        <v>45950</v>
      </c>
      <c r="F373" s="1">
        <v>45952</v>
      </c>
      <c r="G373" s="1">
        <v>45958</v>
      </c>
      <c r="H373" t="s">
        <v>17</v>
      </c>
      <c r="J373" s="1">
        <v>45972</v>
      </c>
      <c r="K373" s="7">
        <v>3</v>
      </c>
      <c r="L373" s="7">
        <v>2</v>
      </c>
      <c r="M373" s="7">
        <v>6</v>
      </c>
      <c r="N373" s="7">
        <v>1</v>
      </c>
    </row>
    <row r="374" spans="1:14" x14ac:dyDescent="0.5">
      <c r="A374" t="s">
        <v>400</v>
      </c>
      <c r="B374" t="s">
        <v>32</v>
      </c>
      <c r="C374" t="s">
        <v>16</v>
      </c>
      <c r="D374" s="1">
        <v>45957</v>
      </c>
      <c r="E374" s="1">
        <v>45959</v>
      </c>
      <c r="F374" s="1">
        <v>45961</v>
      </c>
      <c r="G374" s="1">
        <v>45968</v>
      </c>
      <c r="H374" t="s">
        <v>17</v>
      </c>
      <c r="J374" s="1">
        <v>45996</v>
      </c>
      <c r="K374" s="7">
        <v>2</v>
      </c>
      <c r="L374" s="7">
        <v>2</v>
      </c>
      <c r="M374" s="7">
        <v>7</v>
      </c>
      <c r="N374" s="7">
        <v>5</v>
      </c>
    </row>
    <row r="375" spans="1:14" x14ac:dyDescent="0.5">
      <c r="A375" t="s">
        <v>401</v>
      </c>
      <c r="B375" t="s">
        <v>15</v>
      </c>
      <c r="C375" t="s">
        <v>16</v>
      </c>
      <c r="D375" s="1">
        <v>45931</v>
      </c>
      <c r="E375" s="1">
        <v>45933</v>
      </c>
      <c r="F375" s="1">
        <v>45934</v>
      </c>
      <c r="G375" s="1">
        <v>45939</v>
      </c>
      <c r="H375" t="s">
        <v>17</v>
      </c>
      <c r="J375" s="1">
        <v>45967</v>
      </c>
      <c r="K375" s="7">
        <v>2</v>
      </c>
      <c r="L375" s="7">
        <v>1</v>
      </c>
      <c r="M375" s="7">
        <v>5</v>
      </c>
      <c r="N375" s="7">
        <v>2</v>
      </c>
    </row>
    <row r="376" spans="1:14" x14ac:dyDescent="0.5">
      <c r="A376" t="s">
        <v>402</v>
      </c>
      <c r="B376" t="s">
        <v>32</v>
      </c>
      <c r="C376" t="s">
        <v>30</v>
      </c>
      <c r="D376" s="1">
        <v>45952</v>
      </c>
      <c r="E376" s="1">
        <v>45955</v>
      </c>
      <c r="F376" s="1">
        <v>45956</v>
      </c>
      <c r="G376" s="1">
        <v>45958</v>
      </c>
      <c r="H376" t="s">
        <v>17</v>
      </c>
      <c r="J376" s="1">
        <v>45986</v>
      </c>
      <c r="K376" s="7">
        <v>3</v>
      </c>
      <c r="L376" s="7">
        <v>1</v>
      </c>
      <c r="M376" s="7">
        <v>2</v>
      </c>
      <c r="N376" s="7">
        <v>9</v>
      </c>
    </row>
    <row r="377" spans="1:14" ht="36" x14ac:dyDescent="0.5">
      <c r="A377" t="s">
        <v>403</v>
      </c>
      <c r="B377" t="s">
        <v>15</v>
      </c>
      <c r="C377" t="s">
        <v>16</v>
      </c>
      <c r="D377" s="1">
        <v>45958</v>
      </c>
      <c r="E377" s="1">
        <v>45962</v>
      </c>
      <c r="F377" s="1">
        <v>45965</v>
      </c>
      <c r="G377" s="1">
        <v>45967</v>
      </c>
      <c r="H377" t="s">
        <v>23</v>
      </c>
      <c r="I377" s="2" t="s">
        <v>33</v>
      </c>
      <c r="K377" s="7">
        <v>4</v>
      </c>
      <c r="L377" s="7">
        <v>3</v>
      </c>
      <c r="M377" s="7">
        <v>2</v>
      </c>
    </row>
    <row r="378" spans="1:14" x14ac:dyDescent="0.5">
      <c r="A378" t="s">
        <v>404</v>
      </c>
      <c r="B378" t="s">
        <v>32</v>
      </c>
      <c r="C378" t="s">
        <v>16</v>
      </c>
      <c r="D378" s="1">
        <v>45948</v>
      </c>
      <c r="E378" s="1">
        <v>45950</v>
      </c>
      <c r="F378" s="1">
        <v>45954</v>
      </c>
      <c r="G378" s="1">
        <v>45961</v>
      </c>
      <c r="H378" t="s">
        <v>17</v>
      </c>
      <c r="J378" s="1">
        <v>45974</v>
      </c>
      <c r="K378" s="7">
        <v>2</v>
      </c>
      <c r="L378" s="7">
        <v>4</v>
      </c>
      <c r="M378" s="7">
        <v>7</v>
      </c>
      <c r="N378" s="7">
        <v>3</v>
      </c>
    </row>
    <row r="379" spans="1:14" x14ac:dyDescent="0.5">
      <c r="A379" t="s">
        <v>405</v>
      </c>
      <c r="B379" t="s">
        <v>21</v>
      </c>
      <c r="C379" t="s">
        <v>16</v>
      </c>
      <c r="D379" s="1">
        <v>45945</v>
      </c>
      <c r="E379" s="1">
        <v>45947</v>
      </c>
      <c r="F379" s="1">
        <v>45952</v>
      </c>
      <c r="G379" s="1">
        <v>45956</v>
      </c>
      <c r="H379" t="s">
        <v>17</v>
      </c>
      <c r="J379" s="1">
        <v>45969</v>
      </c>
      <c r="K379" s="7">
        <v>2</v>
      </c>
      <c r="L379" s="7">
        <v>5</v>
      </c>
      <c r="M379" s="7">
        <v>4</v>
      </c>
      <c r="N379" s="7">
        <v>9</v>
      </c>
    </row>
    <row r="380" spans="1:14" ht="36" x14ac:dyDescent="0.5">
      <c r="A380" t="s">
        <v>406</v>
      </c>
      <c r="B380" t="s">
        <v>15</v>
      </c>
      <c r="C380" t="s">
        <v>22</v>
      </c>
      <c r="D380" s="1">
        <v>45944</v>
      </c>
      <c r="H380" t="s">
        <v>23</v>
      </c>
      <c r="I380" s="2" t="s">
        <v>63</v>
      </c>
    </row>
    <row r="381" spans="1:14" x14ac:dyDescent="0.5">
      <c r="A381" t="s">
        <v>407</v>
      </c>
      <c r="B381" t="s">
        <v>19</v>
      </c>
      <c r="C381" t="s">
        <v>30</v>
      </c>
      <c r="D381" s="1">
        <v>45932</v>
      </c>
      <c r="E381" s="1">
        <v>45934</v>
      </c>
      <c r="F381" s="1">
        <v>45938</v>
      </c>
      <c r="G381" s="1">
        <v>45940</v>
      </c>
      <c r="H381" t="s">
        <v>17</v>
      </c>
      <c r="J381" s="1">
        <v>45968</v>
      </c>
      <c r="K381" s="7">
        <v>2</v>
      </c>
      <c r="L381" s="7">
        <v>4</v>
      </c>
      <c r="M381" s="7">
        <v>2</v>
      </c>
      <c r="N381" s="7">
        <v>10</v>
      </c>
    </row>
    <row r="382" spans="1:14" x14ac:dyDescent="0.5">
      <c r="A382" t="s">
        <v>408</v>
      </c>
      <c r="B382" t="s">
        <v>19</v>
      </c>
      <c r="C382" t="s">
        <v>16</v>
      </c>
      <c r="D382" s="1">
        <v>45937</v>
      </c>
      <c r="E382" s="1">
        <v>45939</v>
      </c>
      <c r="F382" s="1">
        <v>45944</v>
      </c>
      <c r="G382" s="1">
        <v>45949</v>
      </c>
      <c r="H382" t="s">
        <v>17</v>
      </c>
      <c r="J382" s="1">
        <v>45962</v>
      </c>
      <c r="K382" s="7">
        <v>2</v>
      </c>
      <c r="L382" s="7">
        <v>5</v>
      </c>
      <c r="M382" s="7">
        <v>5</v>
      </c>
      <c r="N382" s="7">
        <v>1</v>
      </c>
    </row>
    <row r="383" spans="1:14" x14ac:dyDescent="0.5">
      <c r="A383" t="s">
        <v>409</v>
      </c>
      <c r="B383" t="s">
        <v>32</v>
      </c>
      <c r="C383" t="s">
        <v>16</v>
      </c>
      <c r="D383" s="1">
        <v>45947</v>
      </c>
      <c r="E383" s="1">
        <v>45948</v>
      </c>
      <c r="F383" s="1">
        <v>45952</v>
      </c>
      <c r="G383" s="1">
        <v>45959</v>
      </c>
      <c r="H383" t="s">
        <v>17</v>
      </c>
      <c r="J383" s="1">
        <v>45978</v>
      </c>
      <c r="K383" s="7">
        <v>1</v>
      </c>
      <c r="L383" s="7">
        <v>4</v>
      </c>
      <c r="M383" s="7">
        <v>7</v>
      </c>
      <c r="N383" s="7">
        <v>8</v>
      </c>
    </row>
    <row r="384" spans="1:14" x14ac:dyDescent="0.5">
      <c r="A384" t="s">
        <v>410</v>
      </c>
      <c r="B384" t="s">
        <v>19</v>
      </c>
      <c r="C384" t="s">
        <v>16</v>
      </c>
      <c r="D384" s="1">
        <v>45942</v>
      </c>
      <c r="E384" s="1">
        <v>45945</v>
      </c>
      <c r="F384" s="1">
        <v>45947</v>
      </c>
      <c r="G384" s="1">
        <v>45950</v>
      </c>
      <c r="H384" t="s">
        <v>17</v>
      </c>
      <c r="J384" s="1">
        <v>45977</v>
      </c>
      <c r="K384" s="7">
        <v>3</v>
      </c>
      <c r="L384" s="7">
        <v>2</v>
      </c>
      <c r="M384" s="7">
        <v>3</v>
      </c>
      <c r="N384" s="7">
        <v>4</v>
      </c>
    </row>
    <row r="385" spans="1:14" x14ac:dyDescent="0.5">
      <c r="A385" t="s">
        <v>411</v>
      </c>
      <c r="B385" t="s">
        <v>15</v>
      </c>
      <c r="C385" t="s">
        <v>30</v>
      </c>
      <c r="D385" s="1">
        <v>45950</v>
      </c>
      <c r="E385" s="1">
        <v>45951</v>
      </c>
      <c r="F385" s="1">
        <v>45953</v>
      </c>
      <c r="G385" s="1">
        <v>45958</v>
      </c>
      <c r="H385" t="s">
        <v>17</v>
      </c>
      <c r="J385" s="1">
        <v>45979</v>
      </c>
      <c r="K385" s="7">
        <v>1</v>
      </c>
      <c r="L385" s="7">
        <v>2</v>
      </c>
      <c r="M385" s="7">
        <v>5</v>
      </c>
      <c r="N385" s="7">
        <v>9</v>
      </c>
    </row>
    <row r="386" spans="1:14" ht="36" x14ac:dyDescent="0.5">
      <c r="A386" t="s">
        <v>412</v>
      </c>
      <c r="B386" t="s">
        <v>19</v>
      </c>
      <c r="C386" t="s">
        <v>30</v>
      </c>
      <c r="D386" s="1">
        <v>45955</v>
      </c>
      <c r="E386" s="1">
        <v>45960</v>
      </c>
      <c r="F386" s="1">
        <v>45964</v>
      </c>
      <c r="G386" s="1">
        <v>45966</v>
      </c>
      <c r="H386" t="s">
        <v>23</v>
      </c>
      <c r="I386" s="2" t="s">
        <v>26</v>
      </c>
      <c r="K386" s="7">
        <v>5</v>
      </c>
      <c r="L386" s="7">
        <v>4</v>
      </c>
      <c r="M386" s="7">
        <v>2</v>
      </c>
    </row>
    <row r="387" spans="1:14" x14ac:dyDescent="0.5">
      <c r="A387" t="s">
        <v>413</v>
      </c>
      <c r="B387" t="s">
        <v>21</v>
      </c>
      <c r="C387" t="s">
        <v>22</v>
      </c>
      <c r="D387" s="1">
        <v>45946</v>
      </c>
      <c r="H387" t="s">
        <v>23</v>
      </c>
      <c r="I387" s="2" t="s">
        <v>101</v>
      </c>
    </row>
    <row r="388" spans="1:14" x14ac:dyDescent="0.5">
      <c r="A388" t="s">
        <v>414</v>
      </c>
      <c r="B388" t="s">
        <v>21</v>
      </c>
      <c r="C388" t="s">
        <v>16</v>
      </c>
      <c r="D388" s="1">
        <v>45951</v>
      </c>
      <c r="E388" s="1">
        <v>45956</v>
      </c>
      <c r="F388" s="1">
        <v>45959</v>
      </c>
      <c r="G388" s="1">
        <v>45962</v>
      </c>
      <c r="H388" t="s">
        <v>17</v>
      </c>
      <c r="J388" s="1">
        <v>45985</v>
      </c>
      <c r="K388" s="7">
        <v>5</v>
      </c>
      <c r="L388" s="7">
        <v>3</v>
      </c>
      <c r="M388" s="7">
        <v>3</v>
      </c>
      <c r="N388" s="7">
        <v>5</v>
      </c>
    </row>
    <row r="389" spans="1:14" x14ac:dyDescent="0.5">
      <c r="A389" t="s">
        <v>415</v>
      </c>
      <c r="B389" t="s">
        <v>32</v>
      </c>
      <c r="C389" t="s">
        <v>16</v>
      </c>
      <c r="D389" s="1">
        <v>45945</v>
      </c>
      <c r="E389" s="1">
        <v>45950</v>
      </c>
      <c r="F389" s="1">
        <v>45952</v>
      </c>
      <c r="G389" s="1">
        <v>45957</v>
      </c>
      <c r="H389" t="s">
        <v>23</v>
      </c>
      <c r="I389" s="2" t="s">
        <v>101</v>
      </c>
      <c r="K389" s="7">
        <v>5</v>
      </c>
      <c r="L389" s="7">
        <v>2</v>
      </c>
      <c r="M389" s="7">
        <v>5</v>
      </c>
    </row>
    <row r="390" spans="1:14" x14ac:dyDescent="0.5">
      <c r="A390" t="s">
        <v>416</v>
      </c>
      <c r="B390" t="s">
        <v>15</v>
      </c>
      <c r="C390" t="s">
        <v>16</v>
      </c>
      <c r="D390" s="1">
        <v>45955</v>
      </c>
      <c r="E390" s="1">
        <v>45956</v>
      </c>
      <c r="F390" s="1">
        <v>45959</v>
      </c>
      <c r="G390" s="1">
        <v>45961</v>
      </c>
      <c r="H390" t="s">
        <v>17</v>
      </c>
      <c r="J390" s="1">
        <v>45979</v>
      </c>
      <c r="K390" s="7">
        <v>1</v>
      </c>
      <c r="L390" s="7">
        <v>3</v>
      </c>
      <c r="M390" s="7">
        <v>2</v>
      </c>
      <c r="N390" s="7">
        <v>3</v>
      </c>
    </row>
    <row r="391" spans="1:14" x14ac:dyDescent="0.5">
      <c r="A391" t="s">
        <v>417</v>
      </c>
      <c r="B391" t="s">
        <v>21</v>
      </c>
      <c r="C391" t="s">
        <v>16</v>
      </c>
      <c r="D391" s="1">
        <v>45932</v>
      </c>
      <c r="E391" s="1">
        <v>45935</v>
      </c>
      <c r="F391" s="1">
        <v>45937</v>
      </c>
      <c r="G391" s="1">
        <v>45944</v>
      </c>
      <c r="H391" t="s">
        <v>17</v>
      </c>
      <c r="J391" s="1">
        <v>45966</v>
      </c>
      <c r="K391" s="7">
        <v>3</v>
      </c>
      <c r="L391" s="7">
        <v>2</v>
      </c>
      <c r="M391" s="7">
        <v>7</v>
      </c>
      <c r="N391" s="7">
        <v>6</v>
      </c>
    </row>
    <row r="392" spans="1:14" x14ac:dyDescent="0.5">
      <c r="A392" t="s">
        <v>418</v>
      </c>
      <c r="B392" t="s">
        <v>21</v>
      </c>
      <c r="C392" t="s">
        <v>30</v>
      </c>
      <c r="D392" s="1">
        <v>45937</v>
      </c>
      <c r="E392" s="1">
        <v>45942</v>
      </c>
      <c r="F392" s="1">
        <v>45943</v>
      </c>
      <c r="G392" s="1">
        <v>45945</v>
      </c>
      <c r="H392" t="s">
        <v>17</v>
      </c>
      <c r="J392" s="1">
        <v>45975</v>
      </c>
      <c r="K392" s="7">
        <v>5</v>
      </c>
      <c r="L392" s="7">
        <v>1</v>
      </c>
      <c r="M392" s="7">
        <v>2</v>
      </c>
      <c r="N392" s="7">
        <v>1</v>
      </c>
    </row>
    <row r="393" spans="1:14" x14ac:dyDescent="0.5">
      <c r="A393" t="s">
        <v>419</v>
      </c>
      <c r="B393" t="s">
        <v>15</v>
      </c>
      <c r="C393" t="s">
        <v>16</v>
      </c>
      <c r="D393" s="1">
        <v>45939</v>
      </c>
      <c r="E393" s="1">
        <v>45941</v>
      </c>
      <c r="F393" s="1">
        <v>45942</v>
      </c>
      <c r="G393" s="1">
        <v>45944</v>
      </c>
      <c r="H393" t="s">
        <v>17</v>
      </c>
      <c r="J393" s="1">
        <v>45969</v>
      </c>
      <c r="K393" s="7">
        <v>2</v>
      </c>
      <c r="L393" s="7">
        <v>1</v>
      </c>
      <c r="M393" s="7">
        <v>2</v>
      </c>
      <c r="N393" s="7">
        <v>4</v>
      </c>
    </row>
    <row r="394" spans="1:14" x14ac:dyDescent="0.5">
      <c r="A394" t="s">
        <v>420</v>
      </c>
      <c r="B394" t="s">
        <v>19</v>
      </c>
      <c r="C394" t="s">
        <v>16</v>
      </c>
      <c r="D394" s="1">
        <v>45948</v>
      </c>
      <c r="E394" s="1">
        <v>45953</v>
      </c>
      <c r="F394" s="1">
        <v>45957</v>
      </c>
      <c r="G394" s="1">
        <v>45961</v>
      </c>
      <c r="H394" t="s">
        <v>17</v>
      </c>
      <c r="J394" s="1">
        <v>45989</v>
      </c>
      <c r="K394" s="7">
        <v>5</v>
      </c>
      <c r="L394" s="7">
        <v>4</v>
      </c>
      <c r="M394" s="7">
        <v>4</v>
      </c>
      <c r="N394" s="7">
        <v>6</v>
      </c>
    </row>
    <row r="395" spans="1:14" x14ac:dyDescent="0.5">
      <c r="A395" t="s">
        <v>421</v>
      </c>
      <c r="B395" t="s">
        <v>19</v>
      </c>
      <c r="C395" t="s">
        <v>22</v>
      </c>
      <c r="D395" s="1">
        <v>45935</v>
      </c>
      <c r="H395" t="s">
        <v>23</v>
      </c>
      <c r="I395" s="2" t="s">
        <v>24</v>
      </c>
    </row>
    <row r="396" spans="1:14" x14ac:dyDescent="0.5">
      <c r="A396" t="s">
        <v>422</v>
      </c>
      <c r="B396" t="s">
        <v>32</v>
      </c>
      <c r="C396" t="s">
        <v>30</v>
      </c>
      <c r="D396" s="1">
        <v>45960</v>
      </c>
      <c r="E396" s="1">
        <v>45964</v>
      </c>
      <c r="F396" s="1">
        <v>45969</v>
      </c>
      <c r="G396" s="1">
        <v>45973</v>
      </c>
      <c r="H396" t="s">
        <v>17</v>
      </c>
      <c r="J396" s="1">
        <v>46002</v>
      </c>
      <c r="K396" s="7">
        <v>4</v>
      </c>
      <c r="L396" s="7">
        <v>5</v>
      </c>
      <c r="M396" s="7">
        <v>4</v>
      </c>
      <c r="N396" s="7">
        <v>2</v>
      </c>
    </row>
    <row r="397" spans="1:14" x14ac:dyDescent="0.5">
      <c r="A397" t="s">
        <v>423</v>
      </c>
      <c r="B397" t="s">
        <v>19</v>
      </c>
      <c r="C397" t="s">
        <v>16</v>
      </c>
      <c r="D397" s="1">
        <v>45940</v>
      </c>
      <c r="E397" s="1">
        <v>45942</v>
      </c>
      <c r="F397" s="1">
        <v>45943</v>
      </c>
      <c r="G397" s="1">
        <v>45947</v>
      </c>
      <c r="H397" t="s">
        <v>17</v>
      </c>
      <c r="J397" s="1">
        <v>45972</v>
      </c>
      <c r="K397" s="7">
        <v>2</v>
      </c>
      <c r="L397" s="7">
        <v>1</v>
      </c>
      <c r="M397" s="7">
        <v>4</v>
      </c>
      <c r="N397" s="7">
        <v>8</v>
      </c>
    </row>
    <row r="398" spans="1:14" x14ac:dyDescent="0.5">
      <c r="A398" t="s">
        <v>424</v>
      </c>
      <c r="B398" t="s">
        <v>15</v>
      </c>
      <c r="C398" t="s">
        <v>16</v>
      </c>
      <c r="D398" s="1">
        <v>45945</v>
      </c>
      <c r="E398" s="1">
        <v>45947</v>
      </c>
      <c r="F398" s="1">
        <v>45949</v>
      </c>
      <c r="G398" s="1">
        <v>45952</v>
      </c>
      <c r="H398" t="s">
        <v>17</v>
      </c>
      <c r="J398" s="1">
        <v>45963</v>
      </c>
      <c r="K398" s="7">
        <v>2</v>
      </c>
      <c r="L398" s="7">
        <v>2</v>
      </c>
      <c r="M398" s="7">
        <v>3</v>
      </c>
      <c r="N398" s="7">
        <v>6</v>
      </c>
    </row>
    <row r="399" spans="1:14" x14ac:dyDescent="0.5">
      <c r="A399" t="s">
        <v>425</v>
      </c>
      <c r="B399" t="s">
        <v>21</v>
      </c>
      <c r="C399" t="s">
        <v>16</v>
      </c>
      <c r="D399" s="1">
        <v>45959</v>
      </c>
      <c r="E399" s="1">
        <v>45961</v>
      </c>
      <c r="F399" s="1">
        <v>45963</v>
      </c>
      <c r="G399" s="1">
        <v>45968</v>
      </c>
      <c r="H399" t="s">
        <v>17</v>
      </c>
      <c r="J399" s="1">
        <v>45983</v>
      </c>
      <c r="K399" s="7">
        <v>2</v>
      </c>
      <c r="L399" s="7">
        <v>2</v>
      </c>
      <c r="M399" s="7">
        <v>5</v>
      </c>
      <c r="N399" s="7">
        <v>2</v>
      </c>
    </row>
    <row r="400" spans="1:14" x14ac:dyDescent="0.5">
      <c r="A400" t="s">
        <v>426</v>
      </c>
      <c r="B400" t="s">
        <v>19</v>
      </c>
      <c r="C400" t="s">
        <v>16</v>
      </c>
      <c r="D400" s="1">
        <v>45953</v>
      </c>
      <c r="E400" s="1">
        <v>45958</v>
      </c>
      <c r="F400" s="1">
        <v>45959</v>
      </c>
      <c r="G400" s="1">
        <v>45962</v>
      </c>
      <c r="H400" t="s">
        <v>17</v>
      </c>
      <c r="J400" s="1">
        <v>45980</v>
      </c>
      <c r="K400" s="7">
        <v>5</v>
      </c>
      <c r="L400" s="7">
        <v>1</v>
      </c>
      <c r="M400" s="7">
        <v>3</v>
      </c>
      <c r="N400" s="7">
        <v>6</v>
      </c>
    </row>
    <row r="401" spans="1:14" x14ac:dyDescent="0.5">
      <c r="A401" t="s">
        <v>427</v>
      </c>
      <c r="B401" t="s">
        <v>32</v>
      </c>
      <c r="C401" t="s">
        <v>16</v>
      </c>
      <c r="D401" s="1">
        <v>45946</v>
      </c>
      <c r="E401" s="1">
        <v>45948</v>
      </c>
      <c r="F401" s="1">
        <v>45949</v>
      </c>
      <c r="G401" s="1">
        <v>45956</v>
      </c>
      <c r="H401" t="s">
        <v>17</v>
      </c>
      <c r="J401" s="1">
        <v>45978</v>
      </c>
      <c r="K401" s="7">
        <v>2</v>
      </c>
      <c r="L401" s="7">
        <v>1</v>
      </c>
      <c r="M401" s="7">
        <v>7</v>
      </c>
      <c r="N401" s="7">
        <v>7</v>
      </c>
    </row>
    <row r="402" spans="1:14" x14ac:dyDescent="0.5">
      <c r="A402" t="s">
        <v>428</v>
      </c>
      <c r="B402" t="s">
        <v>19</v>
      </c>
      <c r="C402" t="s">
        <v>16</v>
      </c>
      <c r="D402" s="1">
        <v>45934</v>
      </c>
      <c r="E402" s="1">
        <v>45938</v>
      </c>
      <c r="F402" s="1">
        <v>45943</v>
      </c>
      <c r="G402" s="1">
        <v>45950</v>
      </c>
      <c r="H402" t="s">
        <v>17</v>
      </c>
      <c r="J402" s="1">
        <v>45964</v>
      </c>
      <c r="K402" s="7">
        <v>4</v>
      </c>
      <c r="L402" s="7">
        <v>5</v>
      </c>
      <c r="M402" s="7">
        <v>7</v>
      </c>
      <c r="N402" s="7">
        <v>1</v>
      </c>
    </row>
    <row r="403" spans="1:14" x14ac:dyDescent="0.5">
      <c r="A403" t="s">
        <v>429</v>
      </c>
      <c r="B403" t="s">
        <v>15</v>
      </c>
      <c r="C403" t="s">
        <v>16</v>
      </c>
      <c r="D403" s="1">
        <v>45931</v>
      </c>
      <c r="E403" s="1">
        <v>45932</v>
      </c>
      <c r="F403" s="1">
        <v>45933</v>
      </c>
      <c r="G403" s="1">
        <v>45936</v>
      </c>
      <c r="H403" t="s">
        <v>17</v>
      </c>
      <c r="J403" s="1">
        <v>45965</v>
      </c>
      <c r="K403" s="7">
        <v>1</v>
      </c>
      <c r="L403" s="7">
        <v>1</v>
      </c>
      <c r="M403" s="7">
        <v>3</v>
      </c>
      <c r="N403" s="7">
        <v>8</v>
      </c>
    </row>
    <row r="404" spans="1:14" x14ac:dyDescent="0.5">
      <c r="A404" t="s">
        <v>430</v>
      </c>
      <c r="B404" t="s">
        <v>32</v>
      </c>
      <c r="C404" t="s">
        <v>16</v>
      </c>
      <c r="D404" s="1">
        <v>45951</v>
      </c>
      <c r="E404" s="1">
        <v>45955</v>
      </c>
      <c r="F404" s="1">
        <v>45959</v>
      </c>
      <c r="G404" s="1">
        <v>45961</v>
      </c>
      <c r="H404" t="s">
        <v>17</v>
      </c>
      <c r="J404" s="1">
        <v>45990</v>
      </c>
      <c r="K404" s="7">
        <v>4</v>
      </c>
      <c r="L404" s="7">
        <v>4</v>
      </c>
      <c r="M404" s="7">
        <v>2</v>
      </c>
      <c r="N404" s="7">
        <v>7</v>
      </c>
    </row>
    <row r="405" spans="1:14" ht="36" x14ac:dyDescent="0.5">
      <c r="A405" t="s">
        <v>431</v>
      </c>
      <c r="B405" t="s">
        <v>19</v>
      </c>
      <c r="C405" t="s">
        <v>22</v>
      </c>
      <c r="D405" s="1">
        <v>45950</v>
      </c>
      <c r="H405" t="s">
        <v>23</v>
      </c>
      <c r="I405" s="2" t="s">
        <v>33</v>
      </c>
    </row>
    <row r="406" spans="1:14" x14ac:dyDescent="0.5">
      <c r="A406" t="s">
        <v>432</v>
      </c>
      <c r="B406" t="s">
        <v>32</v>
      </c>
      <c r="C406" t="s">
        <v>16</v>
      </c>
      <c r="D406" s="1">
        <v>45956</v>
      </c>
      <c r="E406" s="1">
        <v>45959</v>
      </c>
      <c r="F406" s="1">
        <v>45964</v>
      </c>
      <c r="G406" s="1">
        <v>45970</v>
      </c>
      <c r="H406" t="s">
        <v>23</v>
      </c>
      <c r="I406" s="2" t="s">
        <v>24</v>
      </c>
      <c r="K406" s="7">
        <v>3</v>
      </c>
      <c r="L406" s="7">
        <v>5</v>
      </c>
      <c r="M406" s="7">
        <v>6</v>
      </c>
    </row>
    <row r="407" spans="1:14" x14ac:dyDescent="0.5">
      <c r="A407" t="s">
        <v>433</v>
      </c>
      <c r="B407" t="s">
        <v>15</v>
      </c>
      <c r="C407" t="s">
        <v>16</v>
      </c>
      <c r="D407" s="1">
        <v>45938</v>
      </c>
      <c r="E407" s="1">
        <v>45940</v>
      </c>
      <c r="F407" s="1">
        <v>45941</v>
      </c>
      <c r="G407" s="1">
        <v>45947</v>
      </c>
      <c r="H407" t="s">
        <v>17</v>
      </c>
      <c r="J407" s="1">
        <v>45969</v>
      </c>
      <c r="K407" s="7">
        <v>2</v>
      </c>
      <c r="L407" s="7">
        <v>1</v>
      </c>
      <c r="M407" s="7">
        <v>6</v>
      </c>
      <c r="N407" s="7">
        <v>7</v>
      </c>
    </row>
    <row r="408" spans="1:14" x14ac:dyDescent="0.5">
      <c r="A408" t="s">
        <v>434</v>
      </c>
      <c r="B408" t="s">
        <v>21</v>
      </c>
      <c r="C408" t="s">
        <v>30</v>
      </c>
      <c r="D408" s="1">
        <v>45953</v>
      </c>
      <c r="E408" s="1">
        <v>45957</v>
      </c>
      <c r="F408" s="1">
        <v>45959</v>
      </c>
      <c r="G408" s="1">
        <v>45961</v>
      </c>
      <c r="H408" t="s">
        <v>17</v>
      </c>
      <c r="J408" s="1">
        <v>45972</v>
      </c>
      <c r="K408" s="7">
        <v>4</v>
      </c>
      <c r="L408" s="7">
        <v>2</v>
      </c>
      <c r="M408" s="7">
        <v>2</v>
      </c>
      <c r="N408" s="7">
        <v>7</v>
      </c>
    </row>
    <row r="409" spans="1:14" x14ac:dyDescent="0.5">
      <c r="A409" t="s">
        <v>435</v>
      </c>
      <c r="B409" t="s">
        <v>15</v>
      </c>
      <c r="C409" t="s">
        <v>22</v>
      </c>
      <c r="D409" s="1">
        <v>45936</v>
      </c>
      <c r="H409" t="s">
        <v>23</v>
      </c>
      <c r="I409" s="2" t="s">
        <v>24</v>
      </c>
    </row>
    <row r="410" spans="1:14" x14ac:dyDescent="0.5">
      <c r="A410" t="s">
        <v>436</v>
      </c>
      <c r="B410" t="s">
        <v>15</v>
      </c>
      <c r="C410" t="s">
        <v>30</v>
      </c>
      <c r="D410" s="1">
        <v>45940</v>
      </c>
      <c r="E410" s="1">
        <v>45945</v>
      </c>
      <c r="F410" s="1">
        <v>45946</v>
      </c>
      <c r="G410" s="1">
        <v>45952</v>
      </c>
      <c r="H410" t="s">
        <v>23</v>
      </c>
      <c r="I410" s="2" t="s">
        <v>24</v>
      </c>
      <c r="K410" s="7">
        <v>5</v>
      </c>
      <c r="L410" s="7">
        <v>1</v>
      </c>
      <c r="M410" s="7">
        <v>6</v>
      </c>
    </row>
    <row r="411" spans="1:14" x14ac:dyDescent="0.5">
      <c r="A411" t="s">
        <v>437</v>
      </c>
      <c r="B411" t="s">
        <v>15</v>
      </c>
      <c r="C411" t="s">
        <v>30</v>
      </c>
      <c r="D411" s="1">
        <v>45948</v>
      </c>
      <c r="E411" s="1">
        <v>45951</v>
      </c>
      <c r="F411" s="1">
        <v>45955</v>
      </c>
      <c r="G411" s="1">
        <v>45962</v>
      </c>
      <c r="H411" t="s">
        <v>17</v>
      </c>
      <c r="J411" s="1">
        <v>45984</v>
      </c>
      <c r="K411" s="7">
        <v>3</v>
      </c>
      <c r="L411" s="7">
        <v>4</v>
      </c>
      <c r="M411" s="7">
        <v>7</v>
      </c>
      <c r="N411" s="7">
        <v>1</v>
      </c>
    </row>
    <row r="412" spans="1:14" x14ac:dyDescent="0.5">
      <c r="A412" t="s">
        <v>438</v>
      </c>
      <c r="B412" t="s">
        <v>15</v>
      </c>
      <c r="C412" t="s">
        <v>30</v>
      </c>
      <c r="D412" s="1">
        <v>45931</v>
      </c>
      <c r="E412" s="1">
        <v>45935</v>
      </c>
      <c r="F412" s="1">
        <v>45939</v>
      </c>
      <c r="G412" s="1">
        <v>45942</v>
      </c>
      <c r="H412" t="s">
        <v>17</v>
      </c>
      <c r="J412" s="1">
        <v>45962</v>
      </c>
      <c r="K412" s="7">
        <v>4</v>
      </c>
      <c r="L412" s="7">
        <v>4</v>
      </c>
      <c r="M412" s="7">
        <v>3</v>
      </c>
      <c r="N412" s="7">
        <v>1</v>
      </c>
    </row>
    <row r="413" spans="1:14" x14ac:dyDescent="0.5">
      <c r="A413" t="s">
        <v>439</v>
      </c>
      <c r="B413" t="s">
        <v>21</v>
      </c>
      <c r="C413" t="s">
        <v>16</v>
      </c>
      <c r="D413" s="1">
        <v>45948</v>
      </c>
      <c r="E413" s="1">
        <v>45950</v>
      </c>
      <c r="F413" s="1">
        <v>45952</v>
      </c>
      <c r="G413" s="1">
        <v>45957</v>
      </c>
      <c r="H413" t="s">
        <v>17</v>
      </c>
      <c r="J413" s="1">
        <v>45974</v>
      </c>
      <c r="K413" s="7">
        <v>2</v>
      </c>
      <c r="L413" s="7">
        <v>2</v>
      </c>
      <c r="M413" s="7">
        <v>5</v>
      </c>
      <c r="N413" s="7">
        <v>10</v>
      </c>
    </row>
    <row r="414" spans="1:14" x14ac:dyDescent="0.5">
      <c r="A414" t="s">
        <v>440</v>
      </c>
      <c r="B414" t="s">
        <v>21</v>
      </c>
      <c r="C414" t="s">
        <v>30</v>
      </c>
      <c r="D414" s="1">
        <v>45944</v>
      </c>
      <c r="E414" s="1">
        <v>45949</v>
      </c>
      <c r="F414" s="1">
        <v>45954</v>
      </c>
      <c r="G414" s="1">
        <v>45958</v>
      </c>
      <c r="H414" t="s">
        <v>17</v>
      </c>
      <c r="J414" s="1">
        <v>45969</v>
      </c>
      <c r="K414" s="7">
        <v>5</v>
      </c>
      <c r="L414" s="7">
        <v>5</v>
      </c>
      <c r="M414" s="7">
        <v>4</v>
      </c>
      <c r="N414" s="7">
        <v>7</v>
      </c>
    </row>
    <row r="415" spans="1:14" x14ac:dyDescent="0.5">
      <c r="A415" t="s">
        <v>441</v>
      </c>
      <c r="B415" t="s">
        <v>32</v>
      </c>
      <c r="C415" t="s">
        <v>30</v>
      </c>
      <c r="D415" s="1">
        <v>45933</v>
      </c>
      <c r="E415" s="1">
        <v>45935</v>
      </c>
      <c r="F415" s="1">
        <v>45937</v>
      </c>
      <c r="G415" s="1">
        <v>45944</v>
      </c>
      <c r="H415" t="s">
        <v>17</v>
      </c>
      <c r="J415" s="1">
        <v>45969</v>
      </c>
      <c r="K415" s="7">
        <v>2</v>
      </c>
      <c r="L415" s="7">
        <v>2</v>
      </c>
      <c r="M415" s="7">
        <v>7</v>
      </c>
      <c r="N415" s="7">
        <v>3</v>
      </c>
    </row>
    <row r="416" spans="1:14" x14ac:dyDescent="0.5">
      <c r="A416" t="s">
        <v>442</v>
      </c>
      <c r="B416" t="s">
        <v>19</v>
      </c>
      <c r="C416" t="s">
        <v>30</v>
      </c>
      <c r="D416" s="1">
        <v>45938</v>
      </c>
      <c r="E416" s="1">
        <v>45941</v>
      </c>
      <c r="F416" s="1">
        <v>45942</v>
      </c>
      <c r="G416" s="1">
        <v>45945</v>
      </c>
      <c r="H416" t="s">
        <v>23</v>
      </c>
      <c r="I416" s="2" t="s">
        <v>101</v>
      </c>
      <c r="K416" s="7">
        <v>3</v>
      </c>
      <c r="L416" s="7">
        <v>1</v>
      </c>
      <c r="M416" s="7">
        <v>3</v>
      </c>
    </row>
    <row r="417" spans="1:14" x14ac:dyDescent="0.5">
      <c r="A417" t="s">
        <v>443</v>
      </c>
      <c r="B417" t="s">
        <v>21</v>
      </c>
      <c r="C417" t="s">
        <v>30</v>
      </c>
      <c r="D417" s="1">
        <v>45957</v>
      </c>
      <c r="E417" s="1">
        <v>45961</v>
      </c>
      <c r="F417" s="1">
        <v>45963</v>
      </c>
      <c r="G417" s="1">
        <v>45970</v>
      </c>
      <c r="H417" t="s">
        <v>17</v>
      </c>
      <c r="J417" s="1">
        <v>45988</v>
      </c>
      <c r="K417" s="7">
        <v>4</v>
      </c>
      <c r="L417" s="7">
        <v>2</v>
      </c>
      <c r="M417" s="7">
        <v>7</v>
      </c>
      <c r="N417" s="7">
        <v>0</v>
      </c>
    </row>
    <row r="418" spans="1:14" x14ac:dyDescent="0.5">
      <c r="A418" t="s">
        <v>444</v>
      </c>
      <c r="B418" t="s">
        <v>21</v>
      </c>
      <c r="C418" t="s">
        <v>16</v>
      </c>
      <c r="D418" s="1">
        <v>45960</v>
      </c>
      <c r="E418" s="1">
        <v>45962</v>
      </c>
      <c r="F418" s="1">
        <v>45967</v>
      </c>
      <c r="G418" s="1">
        <v>45974</v>
      </c>
      <c r="H418" t="s">
        <v>17</v>
      </c>
      <c r="J418" s="1">
        <v>45995</v>
      </c>
      <c r="K418" s="7">
        <v>2</v>
      </c>
      <c r="L418" s="7">
        <v>5</v>
      </c>
      <c r="M418" s="7">
        <v>7</v>
      </c>
      <c r="N418" s="7">
        <v>4</v>
      </c>
    </row>
    <row r="419" spans="1:14" x14ac:dyDescent="0.5">
      <c r="A419" t="s">
        <v>445</v>
      </c>
      <c r="B419" t="s">
        <v>19</v>
      </c>
      <c r="C419" t="s">
        <v>16</v>
      </c>
      <c r="D419" s="1">
        <v>45934</v>
      </c>
      <c r="E419" s="1">
        <v>45937</v>
      </c>
      <c r="F419" s="1">
        <v>45940</v>
      </c>
      <c r="G419" s="1">
        <v>45943</v>
      </c>
      <c r="H419" t="s">
        <v>17</v>
      </c>
      <c r="J419" s="1">
        <v>45953</v>
      </c>
      <c r="K419" s="7">
        <v>3</v>
      </c>
      <c r="L419" s="7">
        <v>3</v>
      </c>
      <c r="M419" s="7">
        <v>3</v>
      </c>
      <c r="N419" s="7">
        <v>10</v>
      </c>
    </row>
    <row r="420" spans="1:14" x14ac:dyDescent="0.5">
      <c r="A420" t="s">
        <v>446</v>
      </c>
      <c r="B420" t="s">
        <v>21</v>
      </c>
      <c r="C420" t="s">
        <v>16</v>
      </c>
      <c r="D420" s="1">
        <v>45945</v>
      </c>
      <c r="E420" s="1">
        <v>45950</v>
      </c>
      <c r="F420" s="1">
        <v>45952</v>
      </c>
      <c r="G420" s="1">
        <v>45957</v>
      </c>
      <c r="H420" t="s">
        <v>17</v>
      </c>
      <c r="J420" s="1">
        <v>45977</v>
      </c>
      <c r="K420" s="7">
        <v>5</v>
      </c>
      <c r="L420" s="7">
        <v>2</v>
      </c>
      <c r="M420" s="7">
        <v>5</v>
      </c>
      <c r="N420" s="7">
        <v>9</v>
      </c>
    </row>
    <row r="421" spans="1:14" x14ac:dyDescent="0.5">
      <c r="A421" t="s">
        <v>447</v>
      </c>
      <c r="B421" t="s">
        <v>15</v>
      </c>
      <c r="C421" t="s">
        <v>16</v>
      </c>
      <c r="D421" s="1">
        <v>45961</v>
      </c>
      <c r="E421" s="1">
        <v>45965</v>
      </c>
      <c r="F421" s="1">
        <v>45970</v>
      </c>
      <c r="G421" s="1">
        <v>45976</v>
      </c>
      <c r="H421" t="s">
        <v>17</v>
      </c>
      <c r="J421" s="1">
        <v>45995</v>
      </c>
      <c r="K421" s="7">
        <v>4</v>
      </c>
      <c r="L421" s="7">
        <v>5</v>
      </c>
      <c r="M421" s="7">
        <v>6</v>
      </c>
      <c r="N421" s="7">
        <v>5</v>
      </c>
    </row>
    <row r="422" spans="1:14" x14ac:dyDescent="0.5">
      <c r="A422" t="s">
        <v>448</v>
      </c>
      <c r="B422" t="s">
        <v>15</v>
      </c>
      <c r="C422" t="s">
        <v>16</v>
      </c>
      <c r="D422" s="1">
        <v>45934</v>
      </c>
      <c r="E422" s="1">
        <v>45938</v>
      </c>
      <c r="F422" s="1">
        <v>45941</v>
      </c>
      <c r="G422" s="1">
        <v>45948</v>
      </c>
      <c r="H422" t="s">
        <v>17</v>
      </c>
      <c r="J422" s="1">
        <v>45967</v>
      </c>
      <c r="K422" s="7">
        <v>4</v>
      </c>
      <c r="L422" s="7">
        <v>3</v>
      </c>
      <c r="M422" s="7">
        <v>7</v>
      </c>
      <c r="N422" s="7">
        <v>1</v>
      </c>
    </row>
    <row r="423" spans="1:14" x14ac:dyDescent="0.5">
      <c r="A423" t="s">
        <v>449</v>
      </c>
      <c r="B423" t="s">
        <v>19</v>
      </c>
      <c r="C423" t="s">
        <v>30</v>
      </c>
      <c r="D423" s="1">
        <v>45951</v>
      </c>
      <c r="E423" s="1">
        <v>45954</v>
      </c>
      <c r="F423" s="1">
        <v>45959</v>
      </c>
      <c r="G423" s="1">
        <v>45964</v>
      </c>
      <c r="H423" t="s">
        <v>17</v>
      </c>
      <c r="J423" s="1">
        <v>45982</v>
      </c>
      <c r="K423" s="7">
        <v>3</v>
      </c>
      <c r="L423" s="7">
        <v>5</v>
      </c>
      <c r="M423" s="7">
        <v>5</v>
      </c>
      <c r="N423" s="7">
        <v>7</v>
      </c>
    </row>
    <row r="424" spans="1:14" x14ac:dyDescent="0.5">
      <c r="A424" t="s">
        <v>450</v>
      </c>
      <c r="B424" t="s">
        <v>32</v>
      </c>
      <c r="C424" t="s">
        <v>16</v>
      </c>
      <c r="D424" s="1">
        <v>45957</v>
      </c>
      <c r="E424" s="1">
        <v>45961</v>
      </c>
      <c r="F424" s="1">
        <v>45966</v>
      </c>
      <c r="G424" s="1">
        <v>45969</v>
      </c>
      <c r="H424" t="s">
        <v>17</v>
      </c>
      <c r="J424" s="1">
        <v>45994</v>
      </c>
      <c r="K424" s="7">
        <v>4</v>
      </c>
      <c r="L424" s="7">
        <v>5</v>
      </c>
      <c r="M424" s="7">
        <v>3</v>
      </c>
      <c r="N424" s="7">
        <v>2</v>
      </c>
    </row>
    <row r="425" spans="1:14" x14ac:dyDescent="0.5">
      <c r="A425" t="s">
        <v>451</v>
      </c>
      <c r="B425" t="s">
        <v>32</v>
      </c>
      <c r="C425" t="s">
        <v>22</v>
      </c>
      <c r="D425" s="1">
        <v>45935</v>
      </c>
      <c r="H425" t="s">
        <v>23</v>
      </c>
      <c r="I425" s="2" t="s">
        <v>101</v>
      </c>
    </row>
    <row r="426" spans="1:14" x14ac:dyDescent="0.5">
      <c r="A426" t="s">
        <v>452</v>
      </c>
      <c r="B426" t="s">
        <v>19</v>
      </c>
      <c r="C426" t="s">
        <v>16</v>
      </c>
      <c r="D426" s="1">
        <v>45946</v>
      </c>
      <c r="E426" s="1">
        <v>45951</v>
      </c>
      <c r="F426" s="1">
        <v>45954</v>
      </c>
      <c r="G426" s="1">
        <v>45956</v>
      </c>
      <c r="H426" t="s">
        <v>17</v>
      </c>
      <c r="J426" s="1">
        <v>45969</v>
      </c>
      <c r="K426" s="7">
        <v>5</v>
      </c>
      <c r="L426" s="7">
        <v>3</v>
      </c>
      <c r="M426" s="7">
        <v>2</v>
      </c>
      <c r="N426" s="7">
        <v>3</v>
      </c>
    </row>
    <row r="427" spans="1:14" x14ac:dyDescent="0.5">
      <c r="A427" t="s">
        <v>453</v>
      </c>
      <c r="B427" t="s">
        <v>19</v>
      </c>
      <c r="C427" t="s">
        <v>30</v>
      </c>
      <c r="D427" s="1">
        <v>45960</v>
      </c>
      <c r="E427" s="1">
        <v>45965</v>
      </c>
      <c r="F427" s="1">
        <v>45967</v>
      </c>
      <c r="G427" s="1">
        <v>45969</v>
      </c>
      <c r="H427" t="s">
        <v>17</v>
      </c>
      <c r="J427" s="1">
        <v>45986</v>
      </c>
      <c r="K427" s="7">
        <v>5</v>
      </c>
      <c r="L427" s="7">
        <v>2</v>
      </c>
      <c r="M427" s="7">
        <v>2</v>
      </c>
      <c r="N427" s="7">
        <v>3</v>
      </c>
    </row>
    <row r="428" spans="1:14" x14ac:dyDescent="0.5">
      <c r="A428" t="s">
        <v>454</v>
      </c>
      <c r="B428" t="s">
        <v>15</v>
      </c>
      <c r="C428" t="s">
        <v>16</v>
      </c>
      <c r="D428" s="1">
        <v>45953</v>
      </c>
      <c r="E428" s="1">
        <v>45957</v>
      </c>
      <c r="F428" s="1">
        <v>45960</v>
      </c>
      <c r="G428" s="1">
        <v>45963</v>
      </c>
      <c r="H428" t="s">
        <v>17</v>
      </c>
      <c r="J428" s="1">
        <v>45977</v>
      </c>
      <c r="K428" s="7">
        <v>4</v>
      </c>
      <c r="L428" s="7">
        <v>3</v>
      </c>
      <c r="M428" s="7">
        <v>3</v>
      </c>
      <c r="N428" s="7">
        <v>6</v>
      </c>
    </row>
    <row r="429" spans="1:14" x14ac:dyDescent="0.5">
      <c r="A429" t="s">
        <v>455</v>
      </c>
      <c r="B429" t="s">
        <v>32</v>
      </c>
      <c r="C429" t="s">
        <v>16</v>
      </c>
      <c r="D429" s="1">
        <v>45940</v>
      </c>
      <c r="E429" s="1">
        <v>45942</v>
      </c>
      <c r="F429" s="1">
        <v>45944</v>
      </c>
      <c r="G429" s="1">
        <v>45946</v>
      </c>
      <c r="H429" t="s">
        <v>17</v>
      </c>
      <c r="J429" s="1">
        <v>45965</v>
      </c>
      <c r="K429" s="7">
        <v>2</v>
      </c>
      <c r="L429" s="7">
        <v>2</v>
      </c>
      <c r="M429" s="7">
        <v>2</v>
      </c>
      <c r="N429" s="7">
        <v>7</v>
      </c>
    </row>
    <row r="430" spans="1:14" x14ac:dyDescent="0.5">
      <c r="A430" t="s">
        <v>456</v>
      </c>
      <c r="B430" t="s">
        <v>21</v>
      </c>
      <c r="C430" t="s">
        <v>16</v>
      </c>
      <c r="D430" s="1">
        <v>45947</v>
      </c>
      <c r="E430" s="1">
        <v>45949</v>
      </c>
      <c r="F430" s="1">
        <v>45954</v>
      </c>
      <c r="G430" s="1">
        <v>45960</v>
      </c>
      <c r="H430" t="s">
        <v>17</v>
      </c>
      <c r="J430" s="1">
        <v>45984</v>
      </c>
      <c r="K430" s="7">
        <v>2</v>
      </c>
      <c r="L430" s="7">
        <v>5</v>
      </c>
      <c r="M430" s="7">
        <v>6</v>
      </c>
      <c r="N430" s="7">
        <v>8</v>
      </c>
    </row>
    <row r="431" spans="1:14" x14ac:dyDescent="0.5">
      <c r="A431" t="s">
        <v>457</v>
      </c>
      <c r="B431" t="s">
        <v>15</v>
      </c>
      <c r="C431" t="s">
        <v>30</v>
      </c>
      <c r="D431" s="1">
        <v>45953</v>
      </c>
      <c r="E431" s="1">
        <v>45958</v>
      </c>
      <c r="F431" s="1">
        <v>45960</v>
      </c>
      <c r="G431" s="1">
        <v>45967</v>
      </c>
      <c r="H431" t="s">
        <v>17</v>
      </c>
      <c r="J431" s="1">
        <v>45987</v>
      </c>
      <c r="K431" s="7">
        <v>5</v>
      </c>
      <c r="L431" s="7">
        <v>2</v>
      </c>
      <c r="M431" s="7">
        <v>7</v>
      </c>
      <c r="N431" s="7">
        <v>6</v>
      </c>
    </row>
    <row r="432" spans="1:14" x14ac:dyDescent="0.5">
      <c r="A432" t="s">
        <v>458</v>
      </c>
      <c r="B432" t="s">
        <v>19</v>
      </c>
      <c r="C432" t="s">
        <v>30</v>
      </c>
      <c r="D432" s="1">
        <v>45939</v>
      </c>
      <c r="E432" s="1">
        <v>45941</v>
      </c>
      <c r="F432" s="1">
        <v>45945</v>
      </c>
      <c r="G432" s="1">
        <v>45950</v>
      </c>
      <c r="H432" t="s">
        <v>17</v>
      </c>
      <c r="J432" s="1">
        <v>45968</v>
      </c>
      <c r="K432" s="7">
        <v>2</v>
      </c>
      <c r="L432" s="7">
        <v>4</v>
      </c>
      <c r="M432" s="7">
        <v>5</v>
      </c>
      <c r="N432" s="7">
        <v>10</v>
      </c>
    </row>
    <row r="433" spans="1:14" x14ac:dyDescent="0.5">
      <c r="A433" t="s">
        <v>459</v>
      </c>
      <c r="B433" t="s">
        <v>32</v>
      </c>
      <c r="C433" t="s">
        <v>30</v>
      </c>
      <c r="D433" s="1">
        <v>45944</v>
      </c>
      <c r="E433" s="1">
        <v>45947</v>
      </c>
      <c r="F433" s="1">
        <v>45950</v>
      </c>
      <c r="G433" s="1">
        <v>45954</v>
      </c>
      <c r="H433" t="s">
        <v>17</v>
      </c>
      <c r="J433" s="1">
        <v>45977</v>
      </c>
      <c r="K433" s="7">
        <v>3</v>
      </c>
      <c r="L433" s="7">
        <v>3</v>
      </c>
      <c r="M433" s="7">
        <v>4</v>
      </c>
      <c r="N433" s="7">
        <v>4</v>
      </c>
    </row>
    <row r="434" spans="1:14" x14ac:dyDescent="0.5">
      <c r="A434" t="s">
        <v>460</v>
      </c>
      <c r="B434" t="s">
        <v>21</v>
      </c>
      <c r="C434" t="s">
        <v>22</v>
      </c>
      <c r="D434" s="1">
        <v>45957</v>
      </c>
      <c r="H434" t="s">
        <v>23</v>
      </c>
      <c r="I434" s="2" t="s">
        <v>24</v>
      </c>
    </row>
    <row r="435" spans="1:14" x14ac:dyDescent="0.5">
      <c r="A435" t="s">
        <v>461</v>
      </c>
      <c r="B435" t="s">
        <v>21</v>
      </c>
      <c r="C435" t="s">
        <v>16</v>
      </c>
      <c r="D435" s="1">
        <v>45946</v>
      </c>
      <c r="E435" s="1">
        <v>45947</v>
      </c>
      <c r="F435" s="1">
        <v>45950</v>
      </c>
      <c r="G435" s="1">
        <v>45955</v>
      </c>
      <c r="H435" t="s">
        <v>17</v>
      </c>
      <c r="J435" s="1">
        <v>45984</v>
      </c>
      <c r="K435" s="7">
        <v>1</v>
      </c>
      <c r="L435" s="7">
        <v>3</v>
      </c>
      <c r="M435" s="7">
        <v>5</v>
      </c>
      <c r="N435" s="7">
        <v>1</v>
      </c>
    </row>
    <row r="436" spans="1:14" x14ac:dyDescent="0.5">
      <c r="A436" t="s">
        <v>462</v>
      </c>
      <c r="B436" t="s">
        <v>15</v>
      </c>
      <c r="C436" t="s">
        <v>30</v>
      </c>
      <c r="D436" s="1">
        <v>45946</v>
      </c>
      <c r="E436" s="1">
        <v>45950</v>
      </c>
      <c r="F436" s="1">
        <v>45951</v>
      </c>
      <c r="G436" s="1">
        <v>45955</v>
      </c>
      <c r="H436" t="s">
        <v>17</v>
      </c>
      <c r="J436" s="1">
        <v>45985</v>
      </c>
      <c r="K436" s="7">
        <v>4</v>
      </c>
      <c r="L436" s="7">
        <v>1</v>
      </c>
      <c r="M436" s="7">
        <v>4</v>
      </c>
      <c r="N436" s="7">
        <v>3</v>
      </c>
    </row>
    <row r="437" spans="1:14" x14ac:dyDescent="0.5">
      <c r="A437" t="s">
        <v>463</v>
      </c>
      <c r="B437" t="s">
        <v>32</v>
      </c>
      <c r="C437" t="s">
        <v>30</v>
      </c>
      <c r="D437" s="1">
        <v>45938</v>
      </c>
      <c r="E437" s="1">
        <v>45941</v>
      </c>
      <c r="F437" s="1">
        <v>45946</v>
      </c>
      <c r="G437" s="1">
        <v>45949</v>
      </c>
      <c r="H437" t="s">
        <v>17</v>
      </c>
      <c r="J437" s="1">
        <v>45961</v>
      </c>
      <c r="K437" s="7">
        <v>3</v>
      </c>
      <c r="L437" s="7">
        <v>5</v>
      </c>
      <c r="M437" s="7">
        <v>3</v>
      </c>
      <c r="N437" s="7">
        <v>7</v>
      </c>
    </row>
    <row r="438" spans="1:14" x14ac:dyDescent="0.5">
      <c r="A438" t="s">
        <v>464</v>
      </c>
      <c r="B438" t="s">
        <v>32</v>
      </c>
      <c r="C438" t="s">
        <v>16</v>
      </c>
      <c r="D438" s="1">
        <v>45945</v>
      </c>
      <c r="E438" s="1">
        <v>45950</v>
      </c>
      <c r="F438" s="1">
        <v>45955</v>
      </c>
      <c r="G438" s="1">
        <v>45958</v>
      </c>
      <c r="H438" t="s">
        <v>17</v>
      </c>
      <c r="J438" s="1">
        <v>45974</v>
      </c>
      <c r="K438" s="7">
        <v>5</v>
      </c>
      <c r="L438" s="7">
        <v>5</v>
      </c>
      <c r="M438" s="7">
        <v>3</v>
      </c>
      <c r="N438" s="7">
        <v>3</v>
      </c>
    </row>
    <row r="439" spans="1:14" x14ac:dyDescent="0.5">
      <c r="A439" t="s">
        <v>465</v>
      </c>
      <c r="B439" t="s">
        <v>19</v>
      </c>
      <c r="C439" t="s">
        <v>30</v>
      </c>
      <c r="D439" s="1">
        <v>45948</v>
      </c>
      <c r="E439" s="1">
        <v>45949</v>
      </c>
      <c r="F439" s="1">
        <v>45951</v>
      </c>
      <c r="G439" s="1">
        <v>45955</v>
      </c>
      <c r="H439" t="s">
        <v>17</v>
      </c>
      <c r="J439" s="1">
        <v>45979</v>
      </c>
      <c r="K439" s="7">
        <v>1</v>
      </c>
      <c r="L439" s="7">
        <v>2</v>
      </c>
      <c r="M439" s="7">
        <v>4</v>
      </c>
      <c r="N439" s="7">
        <v>8</v>
      </c>
    </row>
    <row r="440" spans="1:14" x14ac:dyDescent="0.5">
      <c r="A440" t="s">
        <v>466</v>
      </c>
      <c r="B440" t="s">
        <v>32</v>
      </c>
      <c r="C440" t="s">
        <v>30</v>
      </c>
      <c r="D440" s="1">
        <v>45935</v>
      </c>
      <c r="E440" s="1">
        <v>45940</v>
      </c>
      <c r="F440" s="1">
        <v>45944</v>
      </c>
      <c r="G440" s="1">
        <v>45951</v>
      </c>
      <c r="H440" t="s">
        <v>17</v>
      </c>
      <c r="J440" s="1">
        <v>45967</v>
      </c>
      <c r="K440" s="7">
        <v>5</v>
      </c>
      <c r="L440" s="7">
        <v>4</v>
      </c>
      <c r="M440" s="7">
        <v>7</v>
      </c>
      <c r="N440" s="7">
        <v>7</v>
      </c>
    </row>
    <row r="441" spans="1:14" x14ac:dyDescent="0.5">
      <c r="A441" t="s">
        <v>467</v>
      </c>
      <c r="B441" t="s">
        <v>32</v>
      </c>
      <c r="C441" t="s">
        <v>22</v>
      </c>
      <c r="D441" s="1">
        <v>45943</v>
      </c>
      <c r="H441" t="s">
        <v>23</v>
      </c>
      <c r="I441" s="2" t="s">
        <v>101</v>
      </c>
    </row>
    <row r="442" spans="1:14" x14ac:dyDescent="0.5">
      <c r="A442" t="s">
        <v>468</v>
      </c>
      <c r="B442" t="s">
        <v>15</v>
      </c>
      <c r="C442" t="s">
        <v>30</v>
      </c>
      <c r="D442" s="1">
        <v>45937</v>
      </c>
      <c r="E442" s="1">
        <v>45938</v>
      </c>
      <c r="F442" s="1">
        <v>45943</v>
      </c>
      <c r="G442" s="1">
        <v>45945</v>
      </c>
      <c r="H442" t="s">
        <v>17</v>
      </c>
      <c r="J442" s="1">
        <v>45968</v>
      </c>
      <c r="K442" s="7">
        <v>1</v>
      </c>
      <c r="L442" s="7">
        <v>5</v>
      </c>
      <c r="M442" s="7">
        <v>2</v>
      </c>
      <c r="N442" s="7">
        <v>1</v>
      </c>
    </row>
    <row r="443" spans="1:14" x14ac:dyDescent="0.5">
      <c r="A443" t="s">
        <v>469</v>
      </c>
      <c r="B443" t="s">
        <v>32</v>
      </c>
      <c r="C443" t="s">
        <v>16</v>
      </c>
      <c r="D443" s="1">
        <v>45960</v>
      </c>
      <c r="E443" s="1">
        <v>45963</v>
      </c>
      <c r="F443" s="1">
        <v>45967</v>
      </c>
      <c r="G443" s="1">
        <v>45970</v>
      </c>
      <c r="H443" t="s">
        <v>17</v>
      </c>
      <c r="J443" s="1">
        <v>45995</v>
      </c>
      <c r="K443" s="7">
        <v>3</v>
      </c>
      <c r="L443" s="7">
        <v>4</v>
      </c>
      <c r="M443" s="7">
        <v>3</v>
      </c>
      <c r="N443" s="7">
        <v>8</v>
      </c>
    </row>
    <row r="444" spans="1:14" ht="36" x14ac:dyDescent="0.5">
      <c r="A444" t="s">
        <v>470</v>
      </c>
      <c r="B444" t="s">
        <v>21</v>
      </c>
      <c r="C444" t="s">
        <v>22</v>
      </c>
      <c r="D444" s="1">
        <v>45950</v>
      </c>
      <c r="H444" t="s">
        <v>23</v>
      </c>
      <c r="I444" s="2" t="s">
        <v>33</v>
      </c>
    </row>
    <row r="445" spans="1:14" x14ac:dyDescent="0.5">
      <c r="A445" t="s">
        <v>471</v>
      </c>
      <c r="B445" t="s">
        <v>15</v>
      </c>
      <c r="C445" t="s">
        <v>16</v>
      </c>
      <c r="D445" s="1">
        <v>45947</v>
      </c>
      <c r="E445" s="1">
        <v>45948</v>
      </c>
      <c r="F445" s="1">
        <v>45949</v>
      </c>
      <c r="G445" s="1">
        <v>45955</v>
      </c>
      <c r="H445" t="s">
        <v>17</v>
      </c>
      <c r="J445" s="1">
        <v>45981</v>
      </c>
      <c r="K445" s="7">
        <v>1</v>
      </c>
      <c r="L445" s="7">
        <v>1</v>
      </c>
      <c r="M445" s="7">
        <v>6</v>
      </c>
      <c r="N445" s="7">
        <v>6</v>
      </c>
    </row>
    <row r="446" spans="1:14" x14ac:dyDescent="0.5">
      <c r="A446" t="s">
        <v>472</v>
      </c>
      <c r="B446" t="s">
        <v>15</v>
      </c>
      <c r="C446" t="s">
        <v>30</v>
      </c>
      <c r="D446" s="1">
        <v>45954</v>
      </c>
      <c r="E446" s="1">
        <v>45956</v>
      </c>
      <c r="F446" s="1">
        <v>45959</v>
      </c>
      <c r="G446" s="1">
        <v>45965</v>
      </c>
      <c r="H446" t="s">
        <v>23</v>
      </c>
      <c r="I446" s="2" t="s">
        <v>24</v>
      </c>
      <c r="K446" s="7">
        <v>2</v>
      </c>
      <c r="L446" s="7">
        <v>3</v>
      </c>
      <c r="M446" s="7">
        <v>6</v>
      </c>
    </row>
    <row r="447" spans="1:14" x14ac:dyDescent="0.5">
      <c r="A447" t="s">
        <v>473</v>
      </c>
      <c r="B447" t="s">
        <v>19</v>
      </c>
      <c r="C447" t="s">
        <v>30</v>
      </c>
      <c r="D447" s="1">
        <v>45959</v>
      </c>
      <c r="E447" s="1">
        <v>45962</v>
      </c>
      <c r="F447" s="1">
        <v>45966</v>
      </c>
      <c r="G447" s="1">
        <v>45972</v>
      </c>
      <c r="H447" t="s">
        <v>17</v>
      </c>
      <c r="J447" s="1">
        <v>45993</v>
      </c>
      <c r="K447" s="7">
        <v>3</v>
      </c>
      <c r="L447" s="7">
        <v>4</v>
      </c>
      <c r="M447" s="7">
        <v>6</v>
      </c>
      <c r="N447" s="7">
        <v>3</v>
      </c>
    </row>
    <row r="448" spans="1:14" x14ac:dyDescent="0.5">
      <c r="A448" t="s">
        <v>474</v>
      </c>
      <c r="B448" t="s">
        <v>32</v>
      </c>
      <c r="C448" t="s">
        <v>22</v>
      </c>
      <c r="D448" s="1">
        <v>45935</v>
      </c>
      <c r="H448" t="s">
        <v>23</v>
      </c>
      <c r="I448" s="2" t="s">
        <v>101</v>
      </c>
    </row>
    <row r="449" spans="1:14" ht="36" x14ac:dyDescent="0.5">
      <c r="A449" t="s">
        <v>475</v>
      </c>
      <c r="B449" t="s">
        <v>19</v>
      </c>
      <c r="C449" t="s">
        <v>22</v>
      </c>
      <c r="D449" s="1">
        <v>45958</v>
      </c>
      <c r="H449" t="s">
        <v>23</v>
      </c>
      <c r="I449" s="2" t="s">
        <v>26</v>
      </c>
    </row>
    <row r="450" spans="1:14" x14ac:dyDescent="0.5">
      <c r="A450" t="s">
        <v>476</v>
      </c>
      <c r="B450" t="s">
        <v>21</v>
      </c>
      <c r="C450" t="s">
        <v>16</v>
      </c>
      <c r="D450" s="1">
        <v>45933</v>
      </c>
      <c r="E450" s="1">
        <v>45937</v>
      </c>
      <c r="F450" s="1">
        <v>45942</v>
      </c>
      <c r="G450" s="1">
        <v>45949</v>
      </c>
      <c r="H450" t="s">
        <v>17</v>
      </c>
      <c r="J450" s="1">
        <v>45960</v>
      </c>
      <c r="K450" s="7">
        <v>4</v>
      </c>
      <c r="L450" s="7">
        <v>5</v>
      </c>
      <c r="M450" s="7">
        <v>7</v>
      </c>
      <c r="N450" s="7">
        <v>3</v>
      </c>
    </row>
    <row r="451" spans="1:14" x14ac:dyDescent="0.5">
      <c r="A451" t="s">
        <v>477</v>
      </c>
      <c r="B451" t="s">
        <v>15</v>
      </c>
      <c r="C451" t="s">
        <v>30</v>
      </c>
      <c r="D451" s="1">
        <v>45939</v>
      </c>
      <c r="E451" s="1">
        <v>45944</v>
      </c>
      <c r="F451" s="1">
        <v>45947</v>
      </c>
      <c r="G451" s="1">
        <v>45953</v>
      </c>
      <c r="H451" t="s">
        <v>17</v>
      </c>
      <c r="J451" s="1">
        <v>45979</v>
      </c>
      <c r="K451" s="7">
        <v>5</v>
      </c>
      <c r="L451" s="7">
        <v>3</v>
      </c>
      <c r="M451" s="7">
        <v>6</v>
      </c>
      <c r="N451" s="7">
        <v>3</v>
      </c>
    </row>
    <row r="452" spans="1:14" x14ac:dyDescent="0.5">
      <c r="A452" t="s">
        <v>478</v>
      </c>
      <c r="B452" t="s">
        <v>15</v>
      </c>
      <c r="C452" t="s">
        <v>16</v>
      </c>
      <c r="D452" s="1">
        <v>45955</v>
      </c>
      <c r="E452" s="1">
        <v>45957</v>
      </c>
      <c r="F452" s="1">
        <v>45961</v>
      </c>
      <c r="G452" s="1">
        <v>45965</v>
      </c>
      <c r="H452" t="s">
        <v>17</v>
      </c>
      <c r="J452" s="1">
        <v>45980</v>
      </c>
      <c r="K452" s="7">
        <v>2</v>
      </c>
      <c r="L452" s="7">
        <v>4</v>
      </c>
      <c r="M452" s="7">
        <v>4</v>
      </c>
      <c r="N452" s="7">
        <v>0</v>
      </c>
    </row>
    <row r="453" spans="1:14" x14ac:dyDescent="0.5">
      <c r="A453" t="s">
        <v>479</v>
      </c>
      <c r="B453" t="s">
        <v>15</v>
      </c>
      <c r="C453" t="s">
        <v>22</v>
      </c>
      <c r="D453" s="1">
        <v>45956</v>
      </c>
      <c r="H453" t="s">
        <v>23</v>
      </c>
      <c r="I453" s="2" t="s">
        <v>24</v>
      </c>
    </row>
    <row r="454" spans="1:14" x14ac:dyDescent="0.5">
      <c r="A454" t="s">
        <v>480</v>
      </c>
      <c r="B454" t="s">
        <v>21</v>
      </c>
      <c r="C454" t="s">
        <v>16</v>
      </c>
      <c r="D454" s="1">
        <v>45958</v>
      </c>
      <c r="E454" s="1">
        <v>45962</v>
      </c>
      <c r="F454" s="1">
        <v>45966</v>
      </c>
      <c r="G454" s="1">
        <v>45973</v>
      </c>
      <c r="H454" t="s">
        <v>17</v>
      </c>
      <c r="J454" s="1">
        <v>45985</v>
      </c>
      <c r="K454" s="7">
        <v>4</v>
      </c>
      <c r="L454" s="7">
        <v>4</v>
      </c>
      <c r="M454" s="7">
        <v>7</v>
      </c>
      <c r="N454" s="7">
        <v>4</v>
      </c>
    </row>
    <row r="455" spans="1:14" x14ac:dyDescent="0.5">
      <c r="A455" t="s">
        <v>481</v>
      </c>
      <c r="B455" t="s">
        <v>21</v>
      </c>
      <c r="C455" t="s">
        <v>22</v>
      </c>
      <c r="D455" s="1">
        <v>45944</v>
      </c>
      <c r="H455" t="s">
        <v>23</v>
      </c>
      <c r="I455" s="2" t="s">
        <v>24</v>
      </c>
    </row>
    <row r="456" spans="1:14" ht="36" x14ac:dyDescent="0.5">
      <c r="A456" t="s">
        <v>482</v>
      </c>
      <c r="B456" t="s">
        <v>19</v>
      </c>
      <c r="C456" t="s">
        <v>22</v>
      </c>
      <c r="D456" s="1">
        <v>45941</v>
      </c>
      <c r="H456" t="s">
        <v>23</v>
      </c>
      <c r="I456" s="2" t="s">
        <v>33</v>
      </c>
    </row>
    <row r="457" spans="1:14" x14ac:dyDescent="0.5">
      <c r="A457" t="s">
        <v>483</v>
      </c>
      <c r="B457" t="s">
        <v>19</v>
      </c>
      <c r="C457" t="s">
        <v>16</v>
      </c>
      <c r="D457" s="1">
        <v>45960</v>
      </c>
      <c r="E457" s="1">
        <v>45961</v>
      </c>
      <c r="F457" s="1">
        <v>45963</v>
      </c>
      <c r="G457" s="1">
        <v>45965</v>
      </c>
      <c r="H457" t="s">
        <v>17</v>
      </c>
      <c r="J457" s="1">
        <v>45984</v>
      </c>
      <c r="K457" s="7">
        <v>1</v>
      </c>
      <c r="L457" s="7">
        <v>2</v>
      </c>
      <c r="M457" s="7">
        <v>2</v>
      </c>
      <c r="N457" s="7">
        <v>9</v>
      </c>
    </row>
    <row r="458" spans="1:14" ht="36" x14ac:dyDescent="0.5">
      <c r="A458" t="s">
        <v>484</v>
      </c>
      <c r="B458" t="s">
        <v>19</v>
      </c>
      <c r="C458" t="s">
        <v>16</v>
      </c>
      <c r="D458" s="1">
        <v>45956</v>
      </c>
      <c r="E458" s="1">
        <v>45958</v>
      </c>
      <c r="F458" s="1">
        <v>45961</v>
      </c>
      <c r="G458" s="1">
        <v>45968</v>
      </c>
      <c r="H458" t="s">
        <v>23</v>
      </c>
      <c r="I458" s="2" t="s">
        <v>63</v>
      </c>
      <c r="K458" s="7">
        <v>2</v>
      </c>
      <c r="L458" s="7">
        <v>3</v>
      </c>
      <c r="M458" s="7">
        <v>7</v>
      </c>
    </row>
    <row r="459" spans="1:14" x14ac:dyDescent="0.5">
      <c r="A459" t="s">
        <v>485</v>
      </c>
      <c r="B459" t="s">
        <v>32</v>
      </c>
      <c r="C459" t="s">
        <v>16</v>
      </c>
      <c r="D459" s="1">
        <v>45947</v>
      </c>
      <c r="E459" s="1">
        <v>45951</v>
      </c>
      <c r="F459" s="1">
        <v>45955</v>
      </c>
      <c r="G459" s="1">
        <v>45959</v>
      </c>
      <c r="H459" t="s">
        <v>17</v>
      </c>
      <c r="J459" s="1">
        <v>45985</v>
      </c>
      <c r="K459" s="7">
        <v>4</v>
      </c>
      <c r="L459" s="7">
        <v>4</v>
      </c>
      <c r="M459" s="7">
        <v>4</v>
      </c>
      <c r="N459" s="7">
        <v>5</v>
      </c>
    </row>
    <row r="460" spans="1:14" x14ac:dyDescent="0.5">
      <c r="A460" t="s">
        <v>486</v>
      </c>
      <c r="B460" t="s">
        <v>15</v>
      </c>
      <c r="C460" t="s">
        <v>30</v>
      </c>
      <c r="D460" s="1">
        <v>45939</v>
      </c>
      <c r="E460" s="1">
        <v>45942</v>
      </c>
      <c r="F460" s="1">
        <v>45944</v>
      </c>
      <c r="G460" s="1">
        <v>45947</v>
      </c>
      <c r="H460" t="s">
        <v>17</v>
      </c>
      <c r="J460" s="1">
        <v>45969</v>
      </c>
      <c r="K460" s="7">
        <v>3</v>
      </c>
      <c r="L460" s="7">
        <v>2</v>
      </c>
      <c r="M460" s="7">
        <v>3</v>
      </c>
      <c r="N460" s="7">
        <v>5</v>
      </c>
    </row>
    <row r="461" spans="1:14" x14ac:dyDescent="0.5">
      <c r="A461" t="s">
        <v>487</v>
      </c>
      <c r="B461" t="s">
        <v>15</v>
      </c>
      <c r="C461" t="s">
        <v>16</v>
      </c>
      <c r="D461" s="1">
        <v>45957</v>
      </c>
      <c r="E461" s="1">
        <v>45958</v>
      </c>
      <c r="F461" s="1">
        <v>45963</v>
      </c>
      <c r="G461" s="1">
        <v>45969</v>
      </c>
      <c r="H461" t="s">
        <v>17</v>
      </c>
      <c r="J461" s="1">
        <v>45983</v>
      </c>
      <c r="K461" s="7">
        <v>1</v>
      </c>
      <c r="L461" s="7">
        <v>5</v>
      </c>
      <c r="M461" s="7">
        <v>6</v>
      </c>
      <c r="N461" s="7">
        <v>1</v>
      </c>
    </row>
    <row r="462" spans="1:14" ht="36" x14ac:dyDescent="0.5">
      <c r="A462" t="s">
        <v>488</v>
      </c>
      <c r="B462" t="s">
        <v>19</v>
      </c>
      <c r="C462" t="s">
        <v>16</v>
      </c>
      <c r="D462" s="1">
        <v>45931</v>
      </c>
      <c r="E462" s="1">
        <v>45935</v>
      </c>
      <c r="F462" s="1">
        <v>45939</v>
      </c>
      <c r="G462" s="1">
        <v>45945</v>
      </c>
      <c r="H462" t="s">
        <v>23</v>
      </c>
      <c r="I462" s="2" t="s">
        <v>63</v>
      </c>
      <c r="K462" s="7">
        <v>4</v>
      </c>
      <c r="L462" s="7">
        <v>4</v>
      </c>
      <c r="M462" s="7">
        <v>6</v>
      </c>
    </row>
    <row r="463" spans="1:14" ht="36" x14ac:dyDescent="0.5">
      <c r="A463" t="s">
        <v>489</v>
      </c>
      <c r="B463" t="s">
        <v>15</v>
      </c>
      <c r="C463" t="s">
        <v>22</v>
      </c>
      <c r="D463" s="1">
        <v>45940</v>
      </c>
      <c r="H463" t="s">
        <v>23</v>
      </c>
      <c r="I463" s="2" t="s">
        <v>33</v>
      </c>
    </row>
    <row r="464" spans="1:14" ht="36" x14ac:dyDescent="0.5">
      <c r="A464" t="s">
        <v>490</v>
      </c>
      <c r="B464" t="s">
        <v>19</v>
      </c>
      <c r="C464" t="s">
        <v>22</v>
      </c>
      <c r="D464" s="1">
        <v>45954</v>
      </c>
      <c r="H464" t="s">
        <v>23</v>
      </c>
      <c r="I464" s="2" t="s">
        <v>33</v>
      </c>
    </row>
    <row r="465" spans="1:14" x14ac:dyDescent="0.5">
      <c r="A465" t="s">
        <v>491</v>
      </c>
      <c r="B465" t="s">
        <v>32</v>
      </c>
      <c r="C465" t="s">
        <v>16</v>
      </c>
      <c r="D465" s="1">
        <v>45940</v>
      </c>
      <c r="E465" s="1">
        <v>45941</v>
      </c>
      <c r="F465" s="1">
        <v>45943</v>
      </c>
      <c r="G465" s="1">
        <v>45949</v>
      </c>
      <c r="H465" t="s">
        <v>17</v>
      </c>
      <c r="J465" s="1">
        <v>45975</v>
      </c>
      <c r="K465" s="7">
        <v>1</v>
      </c>
      <c r="L465" s="7">
        <v>2</v>
      </c>
      <c r="M465" s="7">
        <v>6</v>
      </c>
      <c r="N465" s="7">
        <v>1</v>
      </c>
    </row>
    <row r="466" spans="1:14" x14ac:dyDescent="0.5">
      <c r="A466" t="s">
        <v>492</v>
      </c>
      <c r="B466" t="s">
        <v>32</v>
      </c>
      <c r="C466" t="s">
        <v>30</v>
      </c>
      <c r="D466" s="1">
        <v>45957</v>
      </c>
      <c r="E466" s="1">
        <v>45961</v>
      </c>
      <c r="F466" s="1">
        <v>45963</v>
      </c>
      <c r="G466" s="1">
        <v>45966</v>
      </c>
      <c r="H466" t="s">
        <v>17</v>
      </c>
      <c r="J466" s="1">
        <v>45994</v>
      </c>
      <c r="K466" s="7">
        <v>4</v>
      </c>
      <c r="L466" s="7">
        <v>2</v>
      </c>
      <c r="M466" s="7">
        <v>3</v>
      </c>
      <c r="N466" s="7">
        <v>4</v>
      </c>
    </row>
    <row r="467" spans="1:14" x14ac:dyDescent="0.5">
      <c r="A467" t="s">
        <v>493</v>
      </c>
      <c r="B467" t="s">
        <v>21</v>
      </c>
      <c r="C467" t="s">
        <v>30</v>
      </c>
      <c r="D467" s="1">
        <v>45949</v>
      </c>
      <c r="E467" s="1">
        <v>45954</v>
      </c>
      <c r="F467" s="1">
        <v>45957</v>
      </c>
      <c r="G467" s="1">
        <v>45964</v>
      </c>
      <c r="H467" t="s">
        <v>17</v>
      </c>
      <c r="J467" s="1">
        <v>45974</v>
      </c>
      <c r="K467" s="7">
        <v>5</v>
      </c>
      <c r="L467" s="7">
        <v>3</v>
      </c>
      <c r="M467" s="7">
        <v>7</v>
      </c>
      <c r="N467" s="7">
        <v>4</v>
      </c>
    </row>
    <row r="468" spans="1:14" x14ac:dyDescent="0.5">
      <c r="A468" t="s">
        <v>494</v>
      </c>
      <c r="B468" t="s">
        <v>32</v>
      </c>
      <c r="C468" t="s">
        <v>30</v>
      </c>
      <c r="D468" s="1">
        <v>45949</v>
      </c>
      <c r="E468" s="1">
        <v>45952</v>
      </c>
      <c r="F468" s="1">
        <v>45954</v>
      </c>
      <c r="G468" s="1">
        <v>45959</v>
      </c>
      <c r="H468" t="s">
        <v>17</v>
      </c>
      <c r="J468" s="1">
        <v>45974</v>
      </c>
      <c r="K468" s="7">
        <v>3</v>
      </c>
      <c r="L468" s="7">
        <v>2</v>
      </c>
      <c r="M468" s="7">
        <v>5</v>
      </c>
      <c r="N468" s="7">
        <v>1</v>
      </c>
    </row>
    <row r="469" spans="1:14" x14ac:dyDescent="0.5">
      <c r="A469" t="s">
        <v>495</v>
      </c>
      <c r="B469" t="s">
        <v>19</v>
      </c>
      <c r="C469" t="s">
        <v>16</v>
      </c>
      <c r="D469" s="1">
        <v>45952</v>
      </c>
      <c r="E469" s="1">
        <v>45954</v>
      </c>
      <c r="F469" s="1">
        <v>45958</v>
      </c>
      <c r="G469" s="1">
        <v>45962</v>
      </c>
      <c r="H469" t="s">
        <v>17</v>
      </c>
      <c r="J469" s="1">
        <v>45978</v>
      </c>
      <c r="K469" s="7">
        <v>2</v>
      </c>
      <c r="L469" s="7">
        <v>4</v>
      </c>
      <c r="M469" s="7">
        <v>4</v>
      </c>
      <c r="N469" s="7">
        <v>1</v>
      </c>
    </row>
    <row r="470" spans="1:14" x14ac:dyDescent="0.5">
      <c r="A470" t="s">
        <v>496</v>
      </c>
      <c r="B470" t="s">
        <v>32</v>
      </c>
      <c r="C470" t="s">
        <v>16</v>
      </c>
      <c r="D470" s="1">
        <v>45946</v>
      </c>
      <c r="E470" s="1">
        <v>45950</v>
      </c>
      <c r="F470" s="1">
        <v>45951</v>
      </c>
      <c r="G470" s="1">
        <v>45958</v>
      </c>
      <c r="H470" t="s">
        <v>17</v>
      </c>
      <c r="J470" s="1">
        <v>45974</v>
      </c>
      <c r="K470" s="7">
        <v>4</v>
      </c>
      <c r="L470" s="7">
        <v>1</v>
      </c>
      <c r="M470" s="7">
        <v>7</v>
      </c>
      <c r="N470" s="7">
        <v>0</v>
      </c>
    </row>
    <row r="471" spans="1:14" ht="36" x14ac:dyDescent="0.5">
      <c r="A471" t="s">
        <v>497</v>
      </c>
      <c r="B471" t="s">
        <v>21</v>
      </c>
      <c r="C471" t="s">
        <v>22</v>
      </c>
      <c r="D471" s="1">
        <v>45958</v>
      </c>
      <c r="H471" t="s">
        <v>23</v>
      </c>
      <c r="I471" s="2" t="s">
        <v>33</v>
      </c>
    </row>
    <row r="472" spans="1:14" x14ac:dyDescent="0.5">
      <c r="A472" t="s">
        <v>498</v>
      </c>
      <c r="B472" t="s">
        <v>15</v>
      </c>
      <c r="C472" t="s">
        <v>16</v>
      </c>
      <c r="D472" s="1">
        <v>45935</v>
      </c>
      <c r="E472" s="1">
        <v>45936</v>
      </c>
      <c r="F472" s="1">
        <v>45941</v>
      </c>
      <c r="G472" s="1">
        <v>45943</v>
      </c>
      <c r="H472" t="s">
        <v>17</v>
      </c>
      <c r="J472" s="1">
        <v>45954</v>
      </c>
      <c r="K472" s="7">
        <v>1</v>
      </c>
      <c r="L472" s="7">
        <v>5</v>
      </c>
      <c r="M472" s="7">
        <v>2</v>
      </c>
      <c r="N472" s="7">
        <v>7</v>
      </c>
    </row>
    <row r="473" spans="1:14" ht="36" x14ac:dyDescent="0.5">
      <c r="A473" t="s">
        <v>499</v>
      </c>
      <c r="B473" t="s">
        <v>19</v>
      </c>
      <c r="C473" t="s">
        <v>22</v>
      </c>
      <c r="D473" s="1">
        <v>45945</v>
      </c>
      <c r="H473" t="s">
        <v>23</v>
      </c>
      <c r="I473" s="2" t="s">
        <v>63</v>
      </c>
    </row>
    <row r="474" spans="1:14" ht="36" x14ac:dyDescent="0.5">
      <c r="A474" t="s">
        <v>500</v>
      </c>
      <c r="B474" t="s">
        <v>15</v>
      </c>
      <c r="C474" t="s">
        <v>22</v>
      </c>
      <c r="D474" s="1">
        <v>45948</v>
      </c>
      <c r="H474" t="s">
        <v>23</v>
      </c>
      <c r="I474" s="2" t="s">
        <v>33</v>
      </c>
    </row>
    <row r="475" spans="1:14" x14ac:dyDescent="0.5">
      <c r="A475" t="s">
        <v>501</v>
      </c>
      <c r="B475" t="s">
        <v>21</v>
      </c>
      <c r="C475" t="s">
        <v>16</v>
      </c>
      <c r="D475" s="1">
        <v>45946</v>
      </c>
      <c r="E475" s="1">
        <v>45949</v>
      </c>
      <c r="F475" s="1">
        <v>45953</v>
      </c>
      <c r="G475" s="1">
        <v>45956</v>
      </c>
      <c r="H475" t="s">
        <v>17</v>
      </c>
      <c r="J475" s="1">
        <v>45973</v>
      </c>
      <c r="K475" s="7">
        <v>3</v>
      </c>
      <c r="L475" s="7">
        <v>4</v>
      </c>
      <c r="M475" s="7">
        <v>3</v>
      </c>
      <c r="N475" s="7">
        <v>8</v>
      </c>
    </row>
    <row r="476" spans="1:14" x14ac:dyDescent="0.5">
      <c r="A476" t="s">
        <v>502</v>
      </c>
      <c r="B476" t="s">
        <v>21</v>
      </c>
      <c r="C476" t="s">
        <v>22</v>
      </c>
      <c r="D476" s="1">
        <v>45942</v>
      </c>
      <c r="H476" t="s">
        <v>23</v>
      </c>
      <c r="I476" s="2" t="s">
        <v>101</v>
      </c>
    </row>
    <row r="477" spans="1:14" x14ac:dyDescent="0.5">
      <c r="A477" t="s">
        <v>503</v>
      </c>
      <c r="B477" t="s">
        <v>21</v>
      </c>
      <c r="C477" t="s">
        <v>16</v>
      </c>
      <c r="D477" s="1">
        <v>45941</v>
      </c>
      <c r="E477" s="1">
        <v>45943</v>
      </c>
      <c r="F477" s="1">
        <v>45947</v>
      </c>
      <c r="G477" s="1">
        <v>45952</v>
      </c>
      <c r="H477" t="s">
        <v>23</v>
      </c>
      <c r="I477" s="2" t="s">
        <v>24</v>
      </c>
      <c r="K477" s="7">
        <v>2</v>
      </c>
      <c r="L477" s="7">
        <v>4</v>
      </c>
      <c r="M477" s="7">
        <v>5</v>
      </c>
    </row>
    <row r="478" spans="1:14" x14ac:dyDescent="0.5">
      <c r="A478" t="s">
        <v>504</v>
      </c>
      <c r="B478" t="s">
        <v>15</v>
      </c>
      <c r="C478" t="s">
        <v>30</v>
      </c>
      <c r="D478" s="1">
        <v>45948</v>
      </c>
      <c r="E478" s="1">
        <v>45949</v>
      </c>
      <c r="F478" s="1">
        <v>45954</v>
      </c>
      <c r="G478" s="1">
        <v>45959</v>
      </c>
      <c r="H478" t="s">
        <v>17</v>
      </c>
      <c r="J478" s="1">
        <v>45970</v>
      </c>
      <c r="K478" s="7">
        <v>1</v>
      </c>
      <c r="L478" s="7">
        <v>5</v>
      </c>
      <c r="M478" s="7">
        <v>5</v>
      </c>
      <c r="N478" s="7">
        <v>2</v>
      </c>
    </row>
    <row r="479" spans="1:14" x14ac:dyDescent="0.5">
      <c r="A479" t="s">
        <v>505</v>
      </c>
      <c r="B479" t="s">
        <v>15</v>
      </c>
      <c r="C479" t="s">
        <v>16</v>
      </c>
      <c r="D479" s="1">
        <v>45955</v>
      </c>
      <c r="E479" s="1">
        <v>45958</v>
      </c>
      <c r="F479" s="1">
        <v>45963</v>
      </c>
      <c r="G479" s="1">
        <v>45965</v>
      </c>
      <c r="H479" t="s">
        <v>23</v>
      </c>
      <c r="I479" s="2" t="s">
        <v>24</v>
      </c>
      <c r="K479" s="7">
        <v>3</v>
      </c>
      <c r="L479" s="7">
        <v>5</v>
      </c>
      <c r="M479" s="7">
        <v>2</v>
      </c>
    </row>
    <row r="480" spans="1:14" x14ac:dyDescent="0.5">
      <c r="A480" t="s">
        <v>506</v>
      </c>
      <c r="B480" t="s">
        <v>15</v>
      </c>
      <c r="C480" t="s">
        <v>16</v>
      </c>
      <c r="D480" s="1">
        <v>45948</v>
      </c>
      <c r="E480" s="1">
        <v>45949</v>
      </c>
      <c r="F480" s="1">
        <v>45951</v>
      </c>
      <c r="G480" s="1">
        <v>45954</v>
      </c>
      <c r="H480" t="s">
        <v>17</v>
      </c>
      <c r="J480" s="1">
        <v>45978</v>
      </c>
      <c r="K480" s="7">
        <v>1</v>
      </c>
      <c r="L480" s="7">
        <v>2</v>
      </c>
      <c r="M480" s="7">
        <v>3</v>
      </c>
      <c r="N480" s="7">
        <v>7</v>
      </c>
    </row>
    <row r="481" spans="1:14" ht="36" x14ac:dyDescent="0.5">
      <c r="A481" t="s">
        <v>507</v>
      </c>
      <c r="B481" t="s">
        <v>15</v>
      </c>
      <c r="C481" t="s">
        <v>16</v>
      </c>
      <c r="D481" s="1">
        <v>45943</v>
      </c>
      <c r="E481" s="1">
        <v>45946</v>
      </c>
      <c r="F481" s="1">
        <v>45950</v>
      </c>
      <c r="G481" s="1">
        <v>45955</v>
      </c>
      <c r="H481" t="s">
        <v>23</v>
      </c>
      <c r="I481" s="2" t="s">
        <v>26</v>
      </c>
      <c r="K481" s="7">
        <v>3</v>
      </c>
      <c r="L481" s="7">
        <v>4</v>
      </c>
      <c r="M481" s="7">
        <v>5</v>
      </c>
    </row>
    <row r="482" spans="1:14" x14ac:dyDescent="0.5">
      <c r="A482" t="s">
        <v>508</v>
      </c>
      <c r="B482" t="s">
        <v>21</v>
      </c>
      <c r="C482" t="s">
        <v>16</v>
      </c>
      <c r="D482" s="1">
        <v>45945</v>
      </c>
      <c r="E482" s="1">
        <v>45947</v>
      </c>
      <c r="F482" s="1">
        <v>45949</v>
      </c>
      <c r="G482" s="1">
        <v>45956</v>
      </c>
      <c r="H482" t="s">
        <v>17</v>
      </c>
      <c r="J482" s="1">
        <v>45967</v>
      </c>
      <c r="K482" s="7">
        <v>2</v>
      </c>
      <c r="L482" s="7">
        <v>2</v>
      </c>
      <c r="M482" s="7">
        <v>7</v>
      </c>
      <c r="N482" s="7">
        <v>2</v>
      </c>
    </row>
    <row r="483" spans="1:14" x14ac:dyDescent="0.5">
      <c r="A483" t="s">
        <v>509</v>
      </c>
      <c r="B483" t="s">
        <v>21</v>
      </c>
      <c r="C483" t="s">
        <v>16</v>
      </c>
      <c r="D483" s="1">
        <v>45960</v>
      </c>
      <c r="E483" s="1">
        <v>45962</v>
      </c>
      <c r="F483" s="1">
        <v>45965</v>
      </c>
      <c r="G483" s="1">
        <v>45971</v>
      </c>
      <c r="H483" t="s">
        <v>17</v>
      </c>
      <c r="J483" s="1">
        <v>45992</v>
      </c>
      <c r="K483" s="7">
        <v>2</v>
      </c>
      <c r="L483" s="7">
        <v>3</v>
      </c>
      <c r="M483" s="7">
        <v>6</v>
      </c>
      <c r="N483" s="7">
        <v>8</v>
      </c>
    </row>
    <row r="484" spans="1:14" x14ac:dyDescent="0.5">
      <c r="A484" t="s">
        <v>510</v>
      </c>
      <c r="B484" t="s">
        <v>19</v>
      </c>
      <c r="C484" t="s">
        <v>16</v>
      </c>
      <c r="D484" s="1">
        <v>45941</v>
      </c>
      <c r="E484" s="1">
        <v>45942</v>
      </c>
      <c r="F484" s="1">
        <v>45944</v>
      </c>
      <c r="G484" s="1">
        <v>45946</v>
      </c>
      <c r="H484" t="s">
        <v>17</v>
      </c>
      <c r="J484" s="1">
        <v>45962</v>
      </c>
      <c r="K484" s="7">
        <v>1</v>
      </c>
      <c r="L484" s="7">
        <v>2</v>
      </c>
      <c r="M484" s="7">
        <v>2</v>
      </c>
      <c r="N484" s="7">
        <v>5</v>
      </c>
    </row>
    <row r="485" spans="1:14" x14ac:dyDescent="0.5">
      <c r="A485" t="s">
        <v>511</v>
      </c>
      <c r="B485" t="s">
        <v>19</v>
      </c>
      <c r="C485" t="s">
        <v>16</v>
      </c>
      <c r="D485" s="1">
        <v>45958</v>
      </c>
      <c r="E485" s="1">
        <v>45961</v>
      </c>
      <c r="F485" s="1">
        <v>45964</v>
      </c>
      <c r="G485" s="1">
        <v>45970</v>
      </c>
      <c r="H485" t="s">
        <v>17</v>
      </c>
      <c r="J485" s="1">
        <v>45988</v>
      </c>
      <c r="K485" s="7">
        <v>3</v>
      </c>
      <c r="L485" s="7">
        <v>3</v>
      </c>
      <c r="M485" s="7">
        <v>6</v>
      </c>
      <c r="N485" s="7">
        <v>5</v>
      </c>
    </row>
    <row r="486" spans="1:14" x14ac:dyDescent="0.5">
      <c r="A486" t="s">
        <v>512</v>
      </c>
      <c r="B486" t="s">
        <v>15</v>
      </c>
      <c r="C486" t="s">
        <v>16</v>
      </c>
      <c r="D486" s="1">
        <v>45937</v>
      </c>
      <c r="E486" s="1">
        <v>45941</v>
      </c>
      <c r="F486" s="1">
        <v>45942</v>
      </c>
      <c r="G486" s="1">
        <v>45944</v>
      </c>
      <c r="H486" t="s">
        <v>17</v>
      </c>
      <c r="J486" s="1">
        <v>45965</v>
      </c>
      <c r="K486" s="7">
        <v>4</v>
      </c>
      <c r="L486" s="7">
        <v>1</v>
      </c>
      <c r="M486" s="7">
        <v>2</v>
      </c>
      <c r="N486" s="7">
        <v>6</v>
      </c>
    </row>
    <row r="487" spans="1:14" ht="36" x14ac:dyDescent="0.5">
      <c r="A487" t="s">
        <v>513</v>
      </c>
      <c r="B487" t="s">
        <v>32</v>
      </c>
      <c r="C487" t="s">
        <v>16</v>
      </c>
      <c r="D487" s="1">
        <v>45953</v>
      </c>
      <c r="E487" s="1">
        <v>45955</v>
      </c>
      <c r="F487" s="1">
        <v>45959</v>
      </c>
      <c r="G487" s="1">
        <v>45963</v>
      </c>
      <c r="H487" t="s">
        <v>23</v>
      </c>
      <c r="I487" s="2" t="s">
        <v>26</v>
      </c>
      <c r="K487" s="7">
        <v>2</v>
      </c>
      <c r="L487" s="7">
        <v>4</v>
      </c>
      <c r="M487" s="7">
        <v>4</v>
      </c>
    </row>
    <row r="488" spans="1:14" x14ac:dyDescent="0.5">
      <c r="A488" t="s">
        <v>514</v>
      </c>
      <c r="B488" t="s">
        <v>32</v>
      </c>
      <c r="C488" t="s">
        <v>16</v>
      </c>
      <c r="D488" s="1">
        <v>45938</v>
      </c>
      <c r="E488" s="1">
        <v>45942</v>
      </c>
      <c r="F488" s="1">
        <v>45945</v>
      </c>
      <c r="G488" s="1">
        <v>45949</v>
      </c>
      <c r="H488" t="s">
        <v>17</v>
      </c>
      <c r="J488" s="1">
        <v>45973</v>
      </c>
      <c r="K488" s="7">
        <v>4</v>
      </c>
      <c r="L488" s="7">
        <v>3</v>
      </c>
      <c r="M488" s="7">
        <v>4</v>
      </c>
      <c r="N488" s="7">
        <v>9</v>
      </c>
    </row>
    <row r="489" spans="1:14" x14ac:dyDescent="0.5">
      <c r="A489" t="s">
        <v>515</v>
      </c>
      <c r="B489" t="s">
        <v>21</v>
      </c>
      <c r="C489" t="s">
        <v>30</v>
      </c>
      <c r="D489" s="1">
        <v>45949</v>
      </c>
      <c r="E489" s="1">
        <v>45953</v>
      </c>
      <c r="F489" s="1">
        <v>45954</v>
      </c>
      <c r="G489" s="1">
        <v>45957</v>
      </c>
      <c r="H489" t="s">
        <v>17</v>
      </c>
      <c r="J489" s="1">
        <v>45983</v>
      </c>
      <c r="K489" s="7">
        <v>4</v>
      </c>
      <c r="L489" s="7">
        <v>1</v>
      </c>
      <c r="M489" s="7">
        <v>3</v>
      </c>
      <c r="N489" s="7">
        <v>4</v>
      </c>
    </row>
    <row r="490" spans="1:14" x14ac:dyDescent="0.5">
      <c r="A490" t="s">
        <v>516</v>
      </c>
      <c r="B490" t="s">
        <v>21</v>
      </c>
      <c r="C490" t="s">
        <v>16</v>
      </c>
      <c r="D490" s="1">
        <v>45943</v>
      </c>
      <c r="E490" s="1">
        <v>45948</v>
      </c>
      <c r="F490" s="1">
        <v>45953</v>
      </c>
      <c r="G490" s="1">
        <v>45958</v>
      </c>
      <c r="H490" t="s">
        <v>17</v>
      </c>
      <c r="J490" s="1">
        <v>45980</v>
      </c>
      <c r="K490" s="7">
        <v>5</v>
      </c>
      <c r="L490" s="7">
        <v>5</v>
      </c>
      <c r="M490" s="7">
        <v>5</v>
      </c>
      <c r="N490" s="7">
        <v>5</v>
      </c>
    </row>
    <row r="491" spans="1:14" x14ac:dyDescent="0.5">
      <c r="A491" t="s">
        <v>517</v>
      </c>
      <c r="B491" t="s">
        <v>21</v>
      </c>
      <c r="C491" t="s">
        <v>30</v>
      </c>
      <c r="D491" s="1">
        <v>45938</v>
      </c>
      <c r="E491" s="1">
        <v>45939</v>
      </c>
      <c r="F491" s="1">
        <v>45941</v>
      </c>
      <c r="G491" s="1">
        <v>45947</v>
      </c>
      <c r="H491" t="s">
        <v>17</v>
      </c>
      <c r="J491" s="1">
        <v>45977</v>
      </c>
      <c r="K491" s="7">
        <v>1</v>
      </c>
      <c r="L491" s="7">
        <v>2</v>
      </c>
      <c r="M491" s="7">
        <v>6</v>
      </c>
      <c r="N491" s="7">
        <v>2</v>
      </c>
    </row>
    <row r="492" spans="1:14" x14ac:dyDescent="0.5">
      <c r="A492" t="s">
        <v>518</v>
      </c>
      <c r="B492" t="s">
        <v>19</v>
      </c>
      <c r="C492" t="s">
        <v>16</v>
      </c>
      <c r="D492" s="1">
        <v>45958</v>
      </c>
      <c r="E492" s="1">
        <v>45959</v>
      </c>
      <c r="F492" s="1">
        <v>45960</v>
      </c>
      <c r="G492" s="1">
        <v>45965</v>
      </c>
      <c r="H492" t="s">
        <v>17</v>
      </c>
      <c r="J492" s="1">
        <v>45978</v>
      </c>
      <c r="K492" s="7">
        <v>1</v>
      </c>
      <c r="L492" s="7">
        <v>1</v>
      </c>
      <c r="M492" s="7">
        <v>5</v>
      </c>
      <c r="N492" s="7">
        <v>9</v>
      </c>
    </row>
    <row r="493" spans="1:14" x14ac:dyDescent="0.5">
      <c r="A493" t="s">
        <v>519</v>
      </c>
      <c r="B493" t="s">
        <v>19</v>
      </c>
      <c r="C493" t="s">
        <v>16</v>
      </c>
      <c r="D493" s="1">
        <v>45955</v>
      </c>
      <c r="E493" s="1">
        <v>45956</v>
      </c>
      <c r="F493" s="1">
        <v>45959</v>
      </c>
      <c r="G493" s="1">
        <v>45963</v>
      </c>
      <c r="H493" t="s">
        <v>23</v>
      </c>
      <c r="I493" s="2" t="s">
        <v>24</v>
      </c>
      <c r="K493" s="7">
        <v>1</v>
      </c>
      <c r="L493" s="7">
        <v>3</v>
      </c>
      <c r="M493" s="7">
        <v>4</v>
      </c>
    </row>
    <row r="494" spans="1:14" x14ac:dyDescent="0.5">
      <c r="A494" t="s">
        <v>520</v>
      </c>
      <c r="B494" t="s">
        <v>21</v>
      </c>
      <c r="C494" t="s">
        <v>16</v>
      </c>
      <c r="D494" s="1">
        <v>45944</v>
      </c>
      <c r="E494" s="1">
        <v>45947</v>
      </c>
      <c r="F494" s="1">
        <v>45951</v>
      </c>
      <c r="G494" s="1">
        <v>45957</v>
      </c>
      <c r="H494" t="s">
        <v>17</v>
      </c>
      <c r="J494" s="1">
        <v>45967</v>
      </c>
      <c r="K494" s="7">
        <v>3</v>
      </c>
      <c r="L494" s="7">
        <v>4</v>
      </c>
      <c r="M494" s="7">
        <v>6</v>
      </c>
      <c r="N494" s="7">
        <v>3</v>
      </c>
    </row>
    <row r="495" spans="1:14" x14ac:dyDescent="0.5">
      <c r="A495" t="s">
        <v>521</v>
      </c>
      <c r="B495" t="s">
        <v>21</v>
      </c>
      <c r="C495" t="s">
        <v>16</v>
      </c>
      <c r="D495" s="1">
        <v>45932</v>
      </c>
      <c r="E495" s="1">
        <v>45934</v>
      </c>
      <c r="F495" s="1">
        <v>45939</v>
      </c>
      <c r="G495" s="1">
        <v>45946</v>
      </c>
      <c r="H495" t="s">
        <v>17</v>
      </c>
      <c r="J495" s="1">
        <v>45963</v>
      </c>
      <c r="K495" s="7">
        <v>2</v>
      </c>
      <c r="L495" s="7">
        <v>5</v>
      </c>
      <c r="M495" s="7">
        <v>7</v>
      </c>
      <c r="N495" s="7">
        <v>1</v>
      </c>
    </row>
    <row r="496" spans="1:14" x14ac:dyDescent="0.5">
      <c r="A496" t="s">
        <v>522</v>
      </c>
      <c r="B496" t="s">
        <v>21</v>
      </c>
      <c r="C496" t="s">
        <v>22</v>
      </c>
      <c r="D496" s="1">
        <v>45941</v>
      </c>
      <c r="H496" t="s">
        <v>23</v>
      </c>
      <c r="I496" s="2" t="s">
        <v>101</v>
      </c>
    </row>
    <row r="497" spans="1:14" ht="36" x14ac:dyDescent="0.5">
      <c r="A497" t="s">
        <v>523</v>
      </c>
      <c r="B497" t="s">
        <v>32</v>
      </c>
      <c r="C497" t="s">
        <v>22</v>
      </c>
      <c r="D497" s="1">
        <v>45954</v>
      </c>
      <c r="H497" t="s">
        <v>23</v>
      </c>
      <c r="I497" s="2" t="s">
        <v>63</v>
      </c>
    </row>
    <row r="498" spans="1:14" ht="36" x14ac:dyDescent="0.5">
      <c r="A498" t="s">
        <v>524</v>
      </c>
      <c r="B498" t="s">
        <v>19</v>
      </c>
      <c r="C498" t="s">
        <v>22</v>
      </c>
      <c r="D498" s="1">
        <v>45946</v>
      </c>
      <c r="H498" t="s">
        <v>23</v>
      </c>
      <c r="I498" s="2" t="s">
        <v>63</v>
      </c>
    </row>
    <row r="499" spans="1:14" x14ac:dyDescent="0.5">
      <c r="A499" t="s">
        <v>525</v>
      </c>
      <c r="B499" t="s">
        <v>32</v>
      </c>
      <c r="C499" t="s">
        <v>22</v>
      </c>
      <c r="D499" s="1">
        <v>45953</v>
      </c>
      <c r="H499" t="s">
        <v>23</v>
      </c>
      <c r="I499" s="2" t="s">
        <v>101</v>
      </c>
    </row>
    <row r="500" spans="1:14" x14ac:dyDescent="0.5">
      <c r="A500" t="s">
        <v>526</v>
      </c>
      <c r="B500" t="s">
        <v>32</v>
      </c>
      <c r="C500" t="s">
        <v>30</v>
      </c>
      <c r="D500" s="1">
        <v>45960</v>
      </c>
      <c r="E500" s="1">
        <v>45962</v>
      </c>
      <c r="F500" s="1">
        <v>45967</v>
      </c>
      <c r="G500" s="1">
        <v>45970</v>
      </c>
      <c r="H500" t="s">
        <v>17</v>
      </c>
      <c r="J500" s="1">
        <v>45991</v>
      </c>
      <c r="K500" s="7">
        <v>2</v>
      </c>
      <c r="L500" s="7">
        <v>5</v>
      </c>
      <c r="M500" s="7">
        <v>3</v>
      </c>
      <c r="N500" s="7">
        <v>8</v>
      </c>
    </row>
    <row r="501" spans="1:14" x14ac:dyDescent="0.5">
      <c r="A501" t="s">
        <v>527</v>
      </c>
      <c r="B501" t="s">
        <v>21</v>
      </c>
      <c r="C501" t="s">
        <v>30</v>
      </c>
      <c r="D501" s="1">
        <v>45956</v>
      </c>
      <c r="E501" s="1">
        <v>45961</v>
      </c>
      <c r="F501" s="1">
        <v>45962</v>
      </c>
      <c r="G501" s="1">
        <v>45967</v>
      </c>
      <c r="H501" t="s">
        <v>17</v>
      </c>
      <c r="J501" s="1">
        <v>45992</v>
      </c>
      <c r="K501" s="7">
        <v>5</v>
      </c>
      <c r="L501" s="7">
        <v>1</v>
      </c>
      <c r="M501" s="7">
        <v>5</v>
      </c>
      <c r="N501" s="7">
        <v>7</v>
      </c>
    </row>
    <row r="502" spans="1:14" x14ac:dyDescent="0.5">
      <c r="A502" t="s">
        <v>528</v>
      </c>
      <c r="B502" t="s">
        <v>21</v>
      </c>
      <c r="C502" t="s">
        <v>16</v>
      </c>
      <c r="D502" s="1">
        <v>45943</v>
      </c>
      <c r="E502" s="1">
        <v>45948</v>
      </c>
      <c r="F502" s="1">
        <v>45949</v>
      </c>
      <c r="G502" s="1">
        <v>45951</v>
      </c>
      <c r="H502" t="s">
        <v>17</v>
      </c>
      <c r="J502" s="1">
        <v>45980</v>
      </c>
      <c r="K502" s="7">
        <v>5</v>
      </c>
      <c r="L502" s="7">
        <v>1</v>
      </c>
      <c r="M502" s="7">
        <v>2</v>
      </c>
      <c r="N502" s="7">
        <v>9</v>
      </c>
    </row>
    <row r="503" spans="1:14" x14ac:dyDescent="0.5">
      <c r="A503" t="s">
        <v>529</v>
      </c>
      <c r="B503" t="s">
        <v>15</v>
      </c>
      <c r="C503" t="s">
        <v>30</v>
      </c>
      <c r="D503" s="1">
        <v>45943</v>
      </c>
      <c r="E503" s="1">
        <v>45948</v>
      </c>
      <c r="F503" s="1">
        <v>45950</v>
      </c>
      <c r="G503" s="1">
        <v>45952</v>
      </c>
      <c r="H503" t="s">
        <v>17</v>
      </c>
      <c r="J503" s="1">
        <v>45976</v>
      </c>
      <c r="K503" s="7">
        <v>5</v>
      </c>
      <c r="L503" s="7">
        <v>2</v>
      </c>
      <c r="M503" s="7">
        <v>2</v>
      </c>
      <c r="N503" s="7">
        <v>4</v>
      </c>
    </row>
    <row r="504" spans="1:14" x14ac:dyDescent="0.5">
      <c r="A504" t="s">
        <v>530</v>
      </c>
      <c r="B504" t="s">
        <v>15</v>
      </c>
      <c r="C504" t="s">
        <v>16</v>
      </c>
      <c r="D504" s="1">
        <v>45952</v>
      </c>
      <c r="E504" s="1">
        <v>45956</v>
      </c>
      <c r="F504" s="1">
        <v>45961</v>
      </c>
      <c r="G504" s="1">
        <v>45967</v>
      </c>
      <c r="H504" t="s">
        <v>17</v>
      </c>
      <c r="J504" s="1">
        <v>45982</v>
      </c>
      <c r="K504" s="7">
        <v>4</v>
      </c>
      <c r="L504" s="7">
        <v>5</v>
      </c>
      <c r="M504" s="7">
        <v>6</v>
      </c>
      <c r="N504" s="7">
        <v>5</v>
      </c>
    </row>
    <row r="505" spans="1:14" x14ac:dyDescent="0.5">
      <c r="A505" t="s">
        <v>531</v>
      </c>
      <c r="B505" t="s">
        <v>32</v>
      </c>
      <c r="C505" t="s">
        <v>16</v>
      </c>
      <c r="D505" s="1">
        <v>45956</v>
      </c>
      <c r="E505" s="1">
        <v>45957</v>
      </c>
      <c r="F505" s="1">
        <v>45962</v>
      </c>
      <c r="G505" s="1">
        <v>45964</v>
      </c>
      <c r="H505" t="s">
        <v>17</v>
      </c>
      <c r="J505" s="1">
        <v>45989</v>
      </c>
      <c r="K505" s="7">
        <v>1</v>
      </c>
      <c r="L505" s="7">
        <v>5</v>
      </c>
      <c r="M505" s="7">
        <v>2</v>
      </c>
      <c r="N505" s="7">
        <v>10</v>
      </c>
    </row>
    <row r="506" spans="1:14" x14ac:dyDescent="0.5">
      <c r="A506" t="s">
        <v>532</v>
      </c>
      <c r="B506" t="s">
        <v>19</v>
      </c>
      <c r="C506" t="s">
        <v>16</v>
      </c>
      <c r="D506" s="1">
        <v>45957</v>
      </c>
      <c r="E506" s="1">
        <v>45960</v>
      </c>
      <c r="F506" s="1">
        <v>45962</v>
      </c>
      <c r="G506" s="1">
        <v>45964</v>
      </c>
      <c r="H506" t="s">
        <v>17</v>
      </c>
      <c r="J506" s="1">
        <v>45992</v>
      </c>
      <c r="K506" s="7">
        <v>3</v>
      </c>
      <c r="L506" s="7">
        <v>2</v>
      </c>
      <c r="M506" s="7">
        <v>2</v>
      </c>
      <c r="N506" s="7">
        <v>1</v>
      </c>
    </row>
    <row r="507" spans="1:14" x14ac:dyDescent="0.5">
      <c r="A507" t="s">
        <v>533</v>
      </c>
      <c r="B507" t="s">
        <v>21</v>
      </c>
      <c r="C507" t="s">
        <v>16</v>
      </c>
      <c r="D507" s="1">
        <v>45951</v>
      </c>
      <c r="E507" s="1">
        <v>45953</v>
      </c>
      <c r="F507" s="1">
        <v>45957</v>
      </c>
      <c r="G507" s="1">
        <v>45961</v>
      </c>
      <c r="H507" t="s">
        <v>17</v>
      </c>
      <c r="J507" s="1">
        <v>45988</v>
      </c>
      <c r="K507" s="7">
        <v>2</v>
      </c>
      <c r="L507" s="7">
        <v>4</v>
      </c>
      <c r="M507" s="7">
        <v>4</v>
      </c>
      <c r="N507" s="7">
        <v>10</v>
      </c>
    </row>
    <row r="508" spans="1:14" x14ac:dyDescent="0.5">
      <c r="A508" t="s">
        <v>534</v>
      </c>
      <c r="B508" t="s">
        <v>21</v>
      </c>
      <c r="C508" t="s">
        <v>16</v>
      </c>
      <c r="D508" s="1">
        <v>45935</v>
      </c>
      <c r="E508" s="1">
        <v>45938</v>
      </c>
      <c r="F508" s="1">
        <v>45940</v>
      </c>
      <c r="G508" s="1">
        <v>45943</v>
      </c>
      <c r="H508" t="s">
        <v>17</v>
      </c>
      <c r="J508" s="1">
        <v>45964</v>
      </c>
      <c r="K508" s="7">
        <v>3</v>
      </c>
      <c r="L508" s="7">
        <v>2</v>
      </c>
      <c r="M508" s="7">
        <v>3</v>
      </c>
      <c r="N508" s="7">
        <v>5</v>
      </c>
    </row>
    <row r="509" spans="1:14" x14ac:dyDescent="0.5">
      <c r="A509" t="s">
        <v>535</v>
      </c>
      <c r="B509" t="s">
        <v>32</v>
      </c>
      <c r="C509" t="s">
        <v>16</v>
      </c>
      <c r="D509" s="1">
        <v>45946</v>
      </c>
      <c r="E509" s="1">
        <v>45947</v>
      </c>
      <c r="F509" s="1">
        <v>45950</v>
      </c>
      <c r="G509" s="1">
        <v>45952</v>
      </c>
      <c r="H509" t="s">
        <v>17</v>
      </c>
      <c r="J509" s="1">
        <v>45973</v>
      </c>
      <c r="K509" s="7">
        <v>1</v>
      </c>
      <c r="L509" s="7">
        <v>3</v>
      </c>
      <c r="M509" s="7">
        <v>2</v>
      </c>
      <c r="N509" s="7">
        <v>5</v>
      </c>
    </row>
    <row r="510" spans="1:14" ht="36" x14ac:dyDescent="0.5">
      <c r="A510" t="s">
        <v>536</v>
      </c>
      <c r="B510" t="s">
        <v>15</v>
      </c>
      <c r="C510" t="s">
        <v>22</v>
      </c>
      <c r="D510" s="1">
        <v>45961</v>
      </c>
      <c r="H510" t="s">
        <v>23</v>
      </c>
      <c r="I510" s="2" t="s">
        <v>63</v>
      </c>
    </row>
    <row r="511" spans="1:14" x14ac:dyDescent="0.5">
      <c r="A511" t="s">
        <v>537</v>
      </c>
      <c r="B511" t="s">
        <v>19</v>
      </c>
      <c r="C511" t="s">
        <v>16</v>
      </c>
      <c r="D511" s="1">
        <v>45932</v>
      </c>
      <c r="E511" s="1">
        <v>45933</v>
      </c>
      <c r="F511" s="1">
        <v>45936</v>
      </c>
      <c r="G511" s="1">
        <v>45938</v>
      </c>
      <c r="H511" t="s">
        <v>17</v>
      </c>
      <c r="J511" s="1">
        <v>45953</v>
      </c>
      <c r="K511" s="7">
        <v>1</v>
      </c>
      <c r="L511" s="7">
        <v>3</v>
      </c>
      <c r="M511" s="7">
        <v>2</v>
      </c>
      <c r="N511" s="7">
        <v>7</v>
      </c>
    </row>
    <row r="512" spans="1:14" ht="36" x14ac:dyDescent="0.5">
      <c r="A512" t="s">
        <v>538</v>
      </c>
      <c r="B512" t="s">
        <v>15</v>
      </c>
      <c r="C512" t="s">
        <v>22</v>
      </c>
      <c r="D512" s="1">
        <v>45935</v>
      </c>
      <c r="H512" t="s">
        <v>23</v>
      </c>
      <c r="I512" s="2" t="s">
        <v>33</v>
      </c>
    </row>
    <row r="513" spans="1:14" x14ac:dyDescent="0.5">
      <c r="A513" t="s">
        <v>539</v>
      </c>
      <c r="B513" t="s">
        <v>15</v>
      </c>
      <c r="C513" t="s">
        <v>30</v>
      </c>
      <c r="D513" s="1">
        <v>45947</v>
      </c>
      <c r="E513" s="1">
        <v>45949</v>
      </c>
      <c r="F513" s="1">
        <v>45950</v>
      </c>
      <c r="G513" s="1">
        <v>45955</v>
      </c>
      <c r="H513" t="s">
        <v>17</v>
      </c>
      <c r="J513" s="1">
        <v>45973</v>
      </c>
      <c r="K513" s="7">
        <v>2</v>
      </c>
      <c r="L513" s="7">
        <v>1</v>
      </c>
      <c r="M513" s="7">
        <v>5</v>
      </c>
      <c r="N513" s="7">
        <v>7</v>
      </c>
    </row>
    <row r="514" spans="1:14" x14ac:dyDescent="0.5">
      <c r="A514" t="s">
        <v>540</v>
      </c>
      <c r="B514" t="s">
        <v>15</v>
      </c>
      <c r="C514" t="s">
        <v>22</v>
      </c>
      <c r="D514" s="1">
        <v>45961</v>
      </c>
      <c r="H514" t="s">
        <v>23</v>
      </c>
      <c r="I514" s="2" t="s">
        <v>24</v>
      </c>
    </row>
    <row r="515" spans="1:14" x14ac:dyDescent="0.5">
      <c r="A515" t="s">
        <v>541</v>
      </c>
      <c r="B515" t="s">
        <v>15</v>
      </c>
      <c r="C515" t="s">
        <v>16</v>
      </c>
      <c r="D515" s="1">
        <v>45949</v>
      </c>
      <c r="E515" s="1">
        <v>45953</v>
      </c>
      <c r="F515" s="1">
        <v>45955</v>
      </c>
      <c r="G515" s="1">
        <v>45961</v>
      </c>
      <c r="H515" t="s">
        <v>17</v>
      </c>
      <c r="J515" s="1">
        <v>45973</v>
      </c>
      <c r="K515" s="7">
        <v>4</v>
      </c>
      <c r="L515" s="7">
        <v>2</v>
      </c>
      <c r="M515" s="7">
        <v>6</v>
      </c>
      <c r="N515" s="7">
        <v>3</v>
      </c>
    </row>
    <row r="516" spans="1:14" x14ac:dyDescent="0.5">
      <c r="A516" t="s">
        <v>542</v>
      </c>
      <c r="B516" t="s">
        <v>21</v>
      </c>
      <c r="C516" t="s">
        <v>16</v>
      </c>
      <c r="D516" s="1">
        <v>45941</v>
      </c>
      <c r="E516" s="1">
        <v>45946</v>
      </c>
      <c r="F516" s="1">
        <v>45948</v>
      </c>
      <c r="G516" s="1">
        <v>45952</v>
      </c>
      <c r="H516" t="s">
        <v>17</v>
      </c>
      <c r="J516" s="1">
        <v>45971</v>
      </c>
      <c r="K516" s="7">
        <v>5</v>
      </c>
      <c r="L516" s="7">
        <v>2</v>
      </c>
      <c r="M516" s="7">
        <v>4</v>
      </c>
      <c r="N516" s="7">
        <v>5</v>
      </c>
    </row>
    <row r="517" spans="1:14" x14ac:dyDescent="0.5">
      <c r="A517" t="s">
        <v>543</v>
      </c>
      <c r="B517" t="s">
        <v>21</v>
      </c>
      <c r="C517" t="s">
        <v>30</v>
      </c>
      <c r="D517" s="1">
        <v>45958</v>
      </c>
      <c r="E517" s="1">
        <v>45962</v>
      </c>
      <c r="F517" s="1">
        <v>45963</v>
      </c>
      <c r="G517" s="1">
        <v>45970</v>
      </c>
      <c r="H517" t="s">
        <v>23</v>
      </c>
      <c r="I517" s="2" t="s">
        <v>24</v>
      </c>
      <c r="K517" s="7">
        <v>4</v>
      </c>
      <c r="L517" s="7">
        <v>1</v>
      </c>
      <c r="M517" s="7">
        <v>7</v>
      </c>
    </row>
    <row r="518" spans="1:14" x14ac:dyDescent="0.5">
      <c r="A518" t="s">
        <v>544</v>
      </c>
      <c r="B518" t="s">
        <v>15</v>
      </c>
      <c r="C518" t="s">
        <v>16</v>
      </c>
      <c r="D518" s="1">
        <v>45934</v>
      </c>
      <c r="E518" s="1">
        <v>45935</v>
      </c>
      <c r="F518" s="1">
        <v>45939</v>
      </c>
      <c r="G518" s="1">
        <v>45946</v>
      </c>
      <c r="H518" t="s">
        <v>17</v>
      </c>
      <c r="J518" s="1">
        <v>45956</v>
      </c>
      <c r="K518" s="7">
        <v>1</v>
      </c>
      <c r="L518" s="7">
        <v>4</v>
      </c>
      <c r="M518" s="7">
        <v>7</v>
      </c>
      <c r="N518" s="7">
        <v>2</v>
      </c>
    </row>
    <row r="519" spans="1:14" x14ac:dyDescent="0.5">
      <c r="A519" t="s">
        <v>545</v>
      </c>
      <c r="B519" t="s">
        <v>19</v>
      </c>
      <c r="C519" t="s">
        <v>30</v>
      </c>
      <c r="D519" s="1">
        <v>45958</v>
      </c>
      <c r="E519" s="1">
        <v>45959</v>
      </c>
      <c r="F519" s="1">
        <v>45961</v>
      </c>
      <c r="G519" s="1">
        <v>45967</v>
      </c>
      <c r="H519" t="s">
        <v>17</v>
      </c>
      <c r="J519" s="1">
        <v>45989</v>
      </c>
      <c r="K519" s="7">
        <v>1</v>
      </c>
      <c r="L519" s="7">
        <v>2</v>
      </c>
      <c r="M519" s="7">
        <v>6</v>
      </c>
      <c r="N519" s="7">
        <v>1</v>
      </c>
    </row>
    <row r="520" spans="1:14" x14ac:dyDescent="0.5">
      <c r="A520" t="s">
        <v>546</v>
      </c>
      <c r="B520" t="s">
        <v>32</v>
      </c>
      <c r="C520" t="s">
        <v>30</v>
      </c>
      <c r="D520" s="1">
        <v>45958</v>
      </c>
      <c r="E520" s="1">
        <v>45962</v>
      </c>
      <c r="F520" s="1">
        <v>45967</v>
      </c>
      <c r="G520" s="1">
        <v>45972</v>
      </c>
      <c r="H520" t="s">
        <v>17</v>
      </c>
      <c r="J520" s="1">
        <v>45983</v>
      </c>
      <c r="K520" s="7">
        <v>4</v>
      </c>
      <c r="L520" s="7">
        <v>5</v>
      </c>
      <c r="M520" s="7">
        <v>5</v>
      </c>
      <c r="N520" s="7">
        <v>10</v>
      </c>
    </row>
    <row r="521" spans="1:14" x14ac:dyDescent="0.5">
      <c r="A521" t="s">
        <v>547</v>
      </c>
      <c r="B521" t="s">
        <v>19</v>
      </c>
      <c r="C521" t="s">
        <v>16</v>
      </c>
      <c r="D521" s="1">
        <v>45945</v>
      </c>
      <c r="E521" s="1">
        <v>45950</v>
      </c>
      <c r="F521" s="1">
        <v>45952</v>
      </c>
      <c r="G521" s="1">
        <v>45957</v>
      </c>
      <c r="H521" t="s">
        <v>17</v>
      </c>
      <c r="J521" s="1">
        <v>45972</v>
      </c>
      <c r="K521" s="7">
        <v>5</v>
      </c>
      <c r="L521" s="7">
        <v>2</v>
      </c>
      <c r="M521" s="7">
        <v>5</v>
      </c>
      <c r="N521" s="7">
        <v>6</v>
      </c>
    </row>
    <row r="522" spans="1:14" x14ac:dyDescent="0.5">
      <c r="A522" t="s">
        <v>548</v>
      </c>
      <c r="B522" t="s">
        <v>19</v>
      </c>
      <c r="C522" t="s">
        <v>16</v>
      </c>
      <c r="D522" s="1">
        <v>45934</v>
      </c>
      <c r="E522" s="1">
        <v>45939</v>
      </c>
      <c r="F522" s="1">
        <v>45943</v>
      </c>
      <c r="G522" s="1">
        <v>45950</v>
      </c>
      <c r="H522" t="s">
        <v>17</v>
      </c>
      <c r="J522" s="1">
        <v>45978</v>
      </c>
      <c r="K522" s="7">
        <v>5</v>
      </c>
      <c r="L522" s="7">
        <v>4</v>
      </c>
      <c r="M522" s="7">
        <v>7</v>
      </c>
      <c r="N522" s="7">
        <v>7</v>
      </c>
    </row>
    <row r="523" spans="1:14" x14ac:dyDescent="0.5">
      <c r="A523" t="s">
        <v>549</v>
      </c>
      <c r="B523" t="s">
        <v>19</v>
      </c>
      <c r="C523" t="s">
        <v>16</v>
      </c>
      <c r="D523" s="1">
        <v>45947</v>
      </c>
      <c r="E523" s="1">
        <v>45948</v>
      </c>
      <c r="F523" s="1">
        <v>45950</v>
      </c>
      <c r="G523" s="1">
        <v>45955</v>
      </c>
      <c r="H523" t="s">
        <v>17</v>
      </c>
      <c r="J523" s="1">
        <v>45971</v>
      </c>
      <c r="K523" s="7">
        <v>1</v>
      </c>
      <c r="L523" s="7">
        <v>2</v>
      </c>
      <c r="M523" s="7">
        <v>5</v>
      </c>
      <c r="N523" s="7">
        <v>4</v>
      </c>
    </row>
    <row r="524" spans="1:14" x14ac:dyDescent="0.5">
      <c r="A524" t="s">
        <v>550</v>
      </c>
      <c r="B524" t="s">
        <v>15</v>
      </c>
      <c r="C524" t="s">
        <v>22</v>
      </c>
      <c r="D524" s="1">
        <v>45960</v>
      </c>
      <c r="H524" t="s">
        <v>23</v>
      </c>
      <c r="I524" s="2" t="s">
        <v>101</v>
      </c>
    </row>
    <row r="525" spans="1:14" x14ac:dyDescent="0.5">
      <c r="A525" t="s">
        <v>551</v>
      </c>
      <c r="B525" t="s">
        <v>21</v>
      </c>
      <c r="C525" t="s">
        <v>16</v>
      </c>
      <c r="D525" s="1">
        <v>45945</v>
      </c>
      <c r="E525" s="1">
        <v>45950</v>
      </c>
      <c r="F525" s="1">
        <v>45955</v>
      </c>
      <c r="G525" s="1">
        <v>45957</v>
      </c>
      <c r="H525" t="s">
        <v>17</v>
      </c>
      <c r="J525" s="1">
        <v>45974</v>
      </c>
      <c r="K525" s="7">
        <v>5</v>
      </c>
      <c r="L525" s="7">
        <v>5</v>
      </c>
      <c r="M525" s="7">
        <v>2</v>
      </c>
      <c r="N525" s="7">
        <v>4</v>
      </c>
    </row>
    <row r="526" spans="1:14" x14ac:dyDescent="0.5">
      <c r="A526" t="s">
        <v>552</v>
      </c>
      <c r="B526" t="s">
        <v>19</v>
      </c>
      <c r="C526" t="s">
        <v>16</v>
      </c>
      <c r="D526" s="1">
        <v>45931</v>
      </c>
      <c r="E526" s="1">
        <v>45936</v>
      </c>
      <c r="F526" s="1">
        <v>45939</v>
      </c>
      <c r="G526" s="1">
        <v>45946</v>
      </c>
      <c r="H526" t="s">
        <v>17</v>
      </c>
      <c r="J526" s="1">
        <v>45976</v>
      </c>
      <c r="K526" s="7">
        <v>5</v>
      </c>
      <c r="L526" s="7">
        <v>3</v>
      </c>
      <c r="M526" s="7">
        <v>7</v>
      </c>
      <c r="N526" s="7">
        <v>8</v>
      </c>
    </row>
    <row r="527" spans="1:14" x14ac:dyDescent="0.5">
      <c r="A527" t="s">
        <v>553</v>
      </c>
      <c r="B527" t="s">
        <v>15</v>
      </c>
      <c r="C527" t="s">
        <v>30</v>
      </c>
      <c r="D527" s="1">
        <v>45954</v>
      </c>
      <c r="E527" s="1">
        <v>45956</v>
      </c>
      <c r="F527" s="1">
        <v>45959</v>
      </c>
      <c r="G527" s="1">
        <v>45965</v>
      </c>
      <c r="H527" t="s">
        <v>17</v>
      </c>
      <c r="J527" s="1">
        <v>45982</v>
      </c>
      <c r="K527" s="7">
        <v>2</v>
      </c>
      <c r="L527" s="7">
        <v>3</v>
      </c>
      <c r="M527" s="7">
        <v>6</v>
      </c>
      <c r="N527" s="7">
        <v>8</v>
      </c>
    </row>
    <row r="528" spans="1:14" x14ac:dyDescent="0.5">
      <c r="A528" t="s">
        <v>554</v>
      </c>
      <c r="B528" t="s">
        <v>19</v>
      </c>
      <c r="C528" t="s">
        <v>16</v>
      </c>
      <c r="D528" s="1">
        <v>45935</v>
      </c>
      <c r="E528" s="1">
        <v>45937</v>
      </c>
      <c r="F528" s="1">
        <v>45941</v>
      </c>
      <c r="G528" s="1">
        <v>45947</v>
      </c>
      <c r="H528" t="s">
        <v>17</v>
      </c>
      <c r="J528" s="1">
        <v>45963</v>
      </c>
      <c r="K528" s="7">
        <v>2</v>
      </c>
      <c r="L528" s="7">
        <v>4</v>
      </c>
      <c r="M528" s="7">
        <v>6</v>
      </c>
      <c r="N528" s="7">
        <v>6</v>
      </c>
    </row>
    <row r="529" spans="1:14" x14ac:dyDescent="0.5">
      <c r="A529" t="s">
        <v>555</v>
      </c>
      <c r="B529" t="s">
        <v>19</v>
      </c>
      <c r="C529" t="s">
        <v>16</v>
      </c>
      <c r="D529" s="1">
        <v>45944</v>
      </c>
      <c r="E529" s="1">
        <v>45947</v>
      </c>
      <c r="F529" s="1">
        <v>45951</v>
      </c>
      <c r="G529" s="1">
        <v>45957</v>
      </c>
      <c r="H529" t="s">
        <v>17</v>
      </c>
      <c r="J529" s="1">
        <v>45975</v>
      </c>
      <c r="K529" s="7">
        <v>3</v>
      </c>
      <c r="L529" s="7">
        <v>4</v>
      </c>
      <c r="M529" s="7">
        <v>6</v>
      </c>
      <c r="N529" s="7">
        <v>4</v>
      </c>
    </row>
    <row r="530" spans="1:14" ht="36" x14ac:dyDescent="0.5">
      <c r="A530" t="s">
        <v>556</v>
      </c>
      <c r="B530" t="s">
        <v>15</v>
      </c>
      <c r="C530" t="s">
        <v>22</v>
      </c>
      <c r="D530" s="1">
        <v>45958</v>
      </c>
      <c r="H530" t="s">
        <v>23</v>
      </c>
      <c r="I530" s="2" t="s">
        <v>63</v>
      </c>
    </row>
    <row r="531" spans="1:14" ht="36" x14ac:dyDescent="0.5">
      <c r="A531" t="s">
        <v>557</v>
      </c>
      <c r="B531" t="s">
        <v>21</v>
      </c>
      <c r="C531" t="s">
        <v>22</v>
      </c>
      <c r="D531" s="1">
        <v>45951</v>
      </c>
      <c r="H531" t="s">
        <v>23</v>
      </c>
      <c r="I531" s="2" t="s">
        <v>26</v>
      </c>
    </row>
    <row r="532" spans="1:14" x14ac:dyDescent="0.5">
      <c r="A532" t="s">
        <v>558</v>
      </c>
      <c r="B532" t="s">
        <v>21</v>
      </c>
      <c r="C532" t="s">
        <v>16</v>
      </c>
      <c r="D532" s="1">
        <v>45935</v>
      </c>
      <c r="E532" s="1">
        <v>45939</v>
      </c>
      <c r="F532" s="1">
        <v>45944</v>
      </c>
      <c r="G532" s="1">
        <v>45947</v>
      </c>
      <c r="H532" t="s">
        <v>17</v>
      </c>
      <c r="J532" s="1">
        <v>45977</v>
      </c>
      <c r="K532" s="7">
        <v>4</v>
      </c>
      <c r="L532" s="7">
        <v>5</v>
      </c>
      <c r="M532" s="7">
        <v>3</v>
      </c>
      <c r="N532" s="7">
        <v>2</v>
      </c>
    </row>
    <row r="533" spans="1:14" x14ac:dyDescent="0.5">
      <c r="A533" t="s">
        <v>559</v>
      </c>
      <c r="B533" t="s">
        <v>32</v>
      </c>
      <c r="C533" t="s">
        <v>30</v>
      </c>
      <c r="D533" s="1">
        <v>45933</v>
      </c>
      <c r="E533" s="1">
        <v>45934</v>
      </c>
      <c r="F533" s="1">
        <v>45937</v>
      </c>
      <c r="G533" s="1">
        <v>45941</v>
      </c>
      <c r="H533" t="s">
        <v>17</v>
      </c>
      <c r="J533" s="1">
        <v>45964</v>
      </c>
      <c r="K533" s="7">
        <v>1</v>
      </c>
      <c r="L533" s="7">
        <v>3</v>
      </c>
      <c r="M533" s="7">
        <v>4</v>
      </c>
      <c r="N533" s="7">
        <v>2</v>
      </c>
    </row>
    <row r="534" spans="1:14" ht="36" x14ac:dyDescent="0.5">
      <c r="A534" t="s">
        <v>560</v>
      </c>
      <c r="B534" t="s">
        <v>15</v>
      </c>
      <c r="C534" t="s">
        <v>22</v>
      </c>
      <c r="D534" s="1">
        <v>45946</v>
      </c>
      <c r="H534" t="s">
        <v>23</v>
      </c>
      <c r="I534" s="2" t="s">
        <v>26</v>
      </c>
    </row>
    <row r="535" spans="1:14" x14ac:dyDescent="0.5">
      <c r="A535" t="s">
        <v>561</v>
      </c>
      <c r="B535" t="s">
        <v>32</v>
      </c>
      <c r="C535" t="s">
        <v>16</v>
      </c>
      <c r="D535" s="1">
        <v>45956</v>
      </c>
      <c r="E535" s="1">
        <v>45961</v>
      </c>
      <c r="F535" s="1">
        <v>45964</v>
      </c>
      <c r="G535" s="1">
        <v>45966</v>
      </c>
      <c r="H535" t="s">
        <v>17</v>
      </c>
      <c r="J535" s="1">
        <v>45992</v>
      </c>
      <c r="K535" s="7">
        <v>5</v>
      </c>
      <c r="L535" s="7">
        <v>3</v>
      </c>
      <c r="M535" s="7">
        <v>2</v>
      </c>
      <c r="N535" s="7">
        <v>1</v>
      </c>
    </row>
    <row r="536" spans="1:14" x14ac:dyDescent="0.5">
      <c r="A536" t="s">
        <v>562</v>
      </c>
      <c r="B536" t="s">
        <v>32</v>
      </c>
      <c r="C536" t="s">
        <v>30</v>
      </c>
      <c r="D536" s="1">
        <v>45939</v>
      </c>
      <c r="E536" s="1">
        <v>45942</v>
      </c>
      <c r="F536" s="1">
        <v>45945</v>
      </c>
      <c r="G536" s="1">
        <v>45949</v>
      </c>
      <c r="H536" t="s">
        <v>17</v>
      </c>
      <c r="J536" s="1">
        <v>45959</v>
      </c>
      <c r="K536" s="7">
        <v>3</v>
      </c>
      <c r="L536" s="7">
        <v>3</v>
      </c>
      <c r="M536" s="7">
        <v>4</v>
      </c>
      <c r="N536" s="7">
        <v>0</v>
      </c>
    </row>
    <row r="537" spans="1:14" ht="36" x14ac:dyDescent="0.5">
      <c r="A537" t="s">
        <v>563</v>
      </c>
      <c r="B537" t="s">
        <v>32</v>
      </c>
      <c r="C537" t="s">
        <v>30</v>
      </c>
      <c r="D537" s="1">
        <v>45941</v>
      </c>
      <c r="E537" s="1">
        <v>45943</v>
      </c>
      <c r="F537" s="1">
        <v>45946</v>
      </c>
      <c r="G537" s="1">
        <v>45948</v>
      </c>
      <c r="H537" t="s">
        <v>23</v>
      </c>
      <c r="I537" s="2" t="s">
        <v>63</v>
      </c>
      <c r="K537" s="7">
        <v>2</v>
      </c>
      <c r="L537" s="7">
        <v>3</v>
      </c>
      <c r="M537" s="7">
        <v>2</v>
      </c>
    </row>
    <row r="538" spans="1:14" x14ac:dyDescent="0.5">
      <c r="A538" t="s">
        <v>564</v>
      </c>
      <c r="B538" t="s">
        <v>21</v>
      </c>
      <c r="C538" t="s">
        <v>16</v>
      </c>
      <c r="D538" s="1">
        <v>45950</v>
      </c>
      <c r="E538" s="1">
        <v>45955</v>
      </c>
      <c r="F538" s="1">
        <v>45960</v>
      </c>
      <c r="G538" s="1">
        <v>45966</v>
      </c>
      <c r="H538" t="s">
        <v>17</v>
      </c>
      <c r="J538" s="1">
        <v>45976</v>
      </c>
      <c r="K538" s="7">
        <v>5</v>
      </c>
      <c r="L538" s="7">
        <v>5</v>
      </c>
      <c r="M538" s="7">
        <v>6</v>
      </c>
      <c r="N538" s="7">
        <v>0</v>
      </c>
    </row>
    <row r="539" spans="1:14" x14ac:dyDescent="0.5">
      <c r="A539" t="s">
        <v>565</v>
      </c>
      <c r="B539" t="s">
        <v>15</v>
      </c>
      <c r="C539" t="s">
        <v>30</v>
      </c>
      <c r="D539" s="1">
        <v>45953</v>
      </c>
      <c r="E539" s="1">
        <v>45957</v>
      </c>
      <c r="F539" s="1">
        <v>45961</v>
      </c>
      <c r="G539" s="1">
        <v>45964</v>
      </c>
      <c r="H539" t="s">
        <v>17</v>
      </c>
      <c r="J539" s="1">
        <v>45989</v>
      </c>
      <c r="K539" s="7">
        <v>4</v>
      </c>
      <c r="L539" s="7">
        <v>4</v>
      </c>
      <c r="M539" s="7">
        <v>3</v>
      </c>
      <c r="N539" s="7">
        <v>3</v>
      </c>
    </row>
    <row r="540" spans="1:14" ht="36" x14ac:dyDescent="0.5">
      <c r="A540" t="s">
        <v>566</v>
      </c>
      <c r="B540" t="s">
        <v>32</v>
      </c>
      <c r="C540" t="s">
        <v>22</v>
      </c>
      <c r="D540" s="1">
        <v>45943</v>
      </c>
      <c r="H540" t="s">
        <v>23</v>
      </c>
      <c r="I540" s="2" t="s">
        <v>26</v>
      </c>
    </row>
    <row r="541" spans="1:14" x14ac:dyDescent="0.5">
      <c r="A541" t="s">
        <v>567</v>
      </c>
      <c r="B541" t="s">
        <v>15</v>
      </c>
      <c r="C541" t="s">
        <v>16</v>
      </c>
      <c r="D541" s="1">
        <v>45951</v>
      </c>
      <c r="E541" s="1">
        <v>45953</v>
      </c>
      <c r="F541" s="1">
        <v>45957</v>
      </c>
      <c r="G541" s="1">
        <v>45960</v>
      </c>
      <c r="H541" t="s">
        <v>23</v>
      </c>
      <c r="I541" s="2" t="s">
        <v>101</v>
      </c>
      <c r="K541" s="7">
        <v>2</v>
      </c>
      <c r="L541" s="7">
        <v>4</v>
      </c>
      <c r="M541" s="7">
        <v>3</v>
      </c>
    </row>
    <row r="542" spans="1:14" x14ac:dyDescent="0.5">
      <c r="A542" t="s">
        <v>568</v>
      </c>
      <c r="B542" t="s">
        <v>15</v>
      </c>
      <c r="C542" t="s">
        <v>30</v>
      </c>
      <c r="D542" s="1">
        <v>45933</v>
      </c>
      <c r="E542" s="1">
        <v>45934</v>
      </c>
      <c r="F542" s="1">
        <v>45935</v>
      </c>
      <c r="G542" s="1">
        <v>45941</v>
      </c>
      <c r="H542" t="s">
        <v>17</v>
      </c>
      <c r="J542" s="1">
        <v>45955</v>
      </c>
      <c r="K542" s="7">
        <v>1</v>
      </c>
      <c r="L542" s="7">
        <v>1</v>
      </c>
      <c r="M542" s="7">
        <v>6</v>
      </c>
      <c r="N542" s="7">
        <v>9</v>
      </c>
    </row>
    <row r="543" spans="1:14" x14ac:dyDescent="0.5">
      <c r="A543" t="s">
        <v>569</v>
      </c>
      <c r="B543" t="s">
        <v>21</v>
      </c>
      <c r="C543" t="s">
        <v>22</v>
      </c>
      <c r="D543" s="1">
        <v>45958</v>
      </c>
      <c r="H543" t="s">
        <v>23</v>
      </c>
      <c r="I543" s="2" t="s">
        <v>101</v>
      </c>
    </row>
    <row r="544" spans="1:14" x14ac:dyDescent="0.5">
      <c r="A544" t="s">
        <v>570</v>
      </c>
      <c r="B544" t="s">
        <v>32</v>
      </c>
      <c r="C544" t="s">
        <v>16</v>
      </c>
      <c r="D544" s="1">
        <v>45941</v>
      </c>
      <c r="E544" s="1">
        <v>45946</v>
      </c>
      <c r="F544" s="1">
        <v>45950</v>
      </c>
      <c r="G544" s="1">
        <v>45954</v>
      </c>
      <c r="H544" t="s">
        <v>17</v>
      </c>
      <c r="J544" s="1">
        <v>45984</v>
      </c>
      <c r="K544" s="7">
        <v>5</v>
      </c>
      <c r="L544" s="7">
        <v>4</v>
      </c>
      <c r="M544" s="7">
        <v>4</v>
      </c>
      <c r="N544" s="7">
        <v>9</v>
      </c>
    </row>
    <row r="545" spans="1:14" x14ac:dyDescent="0.5">
      <c r="A545" t="s">
        <v>571</v>
      </c>
      <c r="B545" t="s">
        <v>32</v>
      </c>
      <c r="C545" t="s">
        <v>16</v>
      </c>
      <c r="D545" s="1">
        <v>45958</v>
      </c>
      <c r="E545" s="1">
        <v>45961</v>
      </c>
      <c r="F545" s="1">
        <v>45964</v>
      </c>
      <c r="G545" s="1">
        <v>45969</v>
      </c>
      <c r="H545" t="s">
        <v>17</v>
      </c>
      <c r="J545" s="1">
        <v>45984</v>
      </c>
      <c r="K545" s="7">
        <v>3</v>
      </c>
      <c r="L545" s="7">
        <v>3</v>
      </c>
      <c r="M545" s="7">
        <v>5</v>
      </c>
      <c r="N545" s="7">
        <v>4</v>
      </c>
    </row>
    <row r="546" spans="1:14" x14ac:dyDescent="0.5">
      <c r="A546" t="s">
        <v>572</v>
      </c>
      <c r="B546" t="s">
        <v>15</v>
      </c>
      <c r="C546" t="s">
        <v>30</v>
      </c>
      <c r="D546" s="1">
        <v>45952</v>
      </c>
      <c r="E546" s="1">
        <v>45953</v>
      </c>
      <c r="F546" s="1">
        <v>45955</v>
      </c>
      <c r="G546" s="1">
        <v>45961</v>
      </c>
      <c r="H546" t="s">
        <v>17</v>
      </c>
      <c r="J546" s="1">
        <v>45990</v>
      </c>
      <c r="K546" s="7">
        <v>1</v>
      </c>
      <c r="L546" s="7">
        <v>2</v>
      </c>
      <c r="M546" s="7">
        <v>6</v>
      </c>
      <c r="N546" s="7">
        <v>1</v>
      </c>
    </row>
    <row r="547" spans="1:14" x14ac:dyDescent="0.5">
      <c r="A547" t="s">
        <v>573</v>
      </c>
      <c r="B547" t="s">
        <v>19</v>
      </c>
      <c r="C547" t="s">
        <v>30</v>
      </c>
      <c r="D547" s="1">
        <v>45958</v>
      </c>
      <c r="E547" s="1">
        <v>45963</v>
      </c>
      <c r="F547" s="1">
        <v>45966</v>
      </c>
      <c r="G547" s="1">
        <v>45973</v>
      </c>
      <c r="H547" t="s">
        <v>17</v>
      </c>
      <c r="J547" s="1">
        <v>45983</v>
      </c>
      <c r="K547" s="7">
        <v>5</v>
      </c>
      <c r="L547" s="7">
        <v>3</v>
      </c>
      <c r="M547" s="7">
        <v>7</v>
      </c>
      <c r="N547" s="7">
        <v>6</v>
      </c>
    </row>
    <row r="548" spans="1:14" x14ac:dyDescent="0.5">
      <c r="A548" t="s">
        <v>574</v>
      </c>
      <c r="B548" t="s">
        <v>21</v>
      </c>
      <c r="C548" t="s">
        <v>16</v>
      </c>
      <c r="D548" s="1">
        <v>45948</v>
      </c>
      <c r="E548" s="1">
        <v>45953</v>
      </c>
      <c r="F548" s="1">
        <v>45956</v>
      </c>
      <c r="G548" s="1">
        <v>45963</v>
      </c>
      <c r="H548" t="s">
        <v>17</v>
      </c>
      <c r="J548" s="1">
        <v>45980</v>
      </c>
      <c r="K548" s="7">
        <v>5</v>
      </c>
      <c r="L548" s="7">
        <v>3</v>
      </c>
      <c r="M548" s="7">
        <v>7</v>
      </c>
      <c r="N548" s="7">
        <v>3</v>
      </c>
    </row>
    <row r="549" spans="1:14" x14ac:dyDescent="0.5">
      <c r="A549" t="s">
        <v>575</v>
      </c>
      <c r="B549" t="s">
        <v>21</v>
      </c>
      <c r="C549" t="s">
        <v>16</v>
      </c>
      <c r="D549" s="1">
        <v>45943</v>
      </c>
      <c r="E549" s="1">
        <v>45948</v>
      </c>
      <c r="F549" s="1">
        <v>45952</v>
      </c>
      <c r="G549" s="1">
        <v>45959</v>
      </c>
      <c r="H549" t="s">
        <v>17</v>
      </c>
      <c r="J549" s="1">
        <v>45977</v>
      </c>
      <c r="K549" s="7">
        <v>5</v>
      </c>
      <c r="L549" s="7">
        <v>4</v>
      </c>
      <c r="M549" s="7">
        <v>7</v>
      </c>
      <c r="N549" s="7">
        <v>4</v>
      </c>
    </row>
    <row r="550" spans="1:14" x14ac:dyDescent="0.5">
      <c r="A550" t="s">
        <v>576</v>
      </c>
      <c r="B550" t="s">
        <v>21</v>
      </c>
      <c r="C550" t="s">
        <v>16</v>
      </c>
      <c r="D550" s="1">
        <v>45961</v>
      </c>
      <c r="E550" s="1">
        <v>45966</v>
      </c>
      <c r="F550" s="1">
        <v>45967</v>
      </c>
      <c r="G550" s="1">
        <v>45974</v>
      </c>
      <c r="H550" t="s">
        <v>17</v>
      </c>
      <c r="J550" s="1">
        <v>46003</v>
      </c>
      <c r="K550" s="7">
        <v>5</v>
      </c>
      <c r="L550" s="7">
        <v>1</v>
      </c>
      <c r="M550" s="7">
        <v>7</v>
      </c>
      <c r="N550" s="7">
        <v>6</v>
      </c>
    </row>
    <row r="551" spans="1:14" x14ac:dyDescent="0.5">
      <c r="A551" t="s">
        <v>577</v>
      </c>
      <c r="B551" t="s">
        <v>21</v>
      </c>
      <c r="C551" t="s">
        <v>16</v>
      </c>
      <c r="D551" s="1">
        <v>45941</v>
      </c>
      <c r="E551" s="1">
        <v>45946</v>
      </c>
      <c r="F551" s="1">
        <v>45951</v>
      </c>
      <c r="G551" s="1">
        <v>45953</v>
      </c>
      <c r="H551" t="s">
        <v>17</v>
      </c>
      <c r="J551" s="1">
        <v>45972</v>
      </c>
      <c r="K551" s="7">
        <v>5</v>
      </c>
      <c r="L551" s="7">
        <v>5</v>
      </c>
      <c r="M551" s="7">
        <v>2</v>
      </c>
      <c r="N551" s="7">
        <v>5</v>
      </c>
    </row>
    <row r="552" spans="1:14" x14ac:dyDescent="0.5">
      <c r="A552" t="s">
        <v>578</v>
      </c>
      <c r="B552" t="s">
        <v>32</v>
      </c>
      <c r="C552" t="s">
        <v>16</v>
      </c>
      <c r="D552" s="1">
        <v>45951</v>
      </c>
      <c r="E552" s="1">
        <v>45952</v>
      </c>
      <c r="F552" s="1">
        <v>45954</v>
      </c>
      <c r="G552" s="1">
        <v>45958</v>
      </c>
      <c r="H552" t="s">
        <v>17</v>
      </c>
      <c r="J552" s="1">
        <v>45988</v>
      </c>
      <c r="K552" s="7">
        <v>1</v>
      </c>
      <c r="L552" s="7">
        <v>2</v>
      </c>
      <c r="M552" s="7">
        <v>4</v>
      </c>
      <c r="N552" s="7">
        <v>3</v>
      </c>
    </row>
    <row r="553" spans="1:14" x14ac:dyDescent="0.5">
      <c r="A553" t="s">
        <v>579</v>
      </c>
      <c r="B553" t="s">
        <v>32</v>
      </c>
      <c r="C553" t="s">
        <v>30</v>
      </c>
      <c r="D553" s="1">
        <v>45953</v>
      </c>
      <c r="E553" s="1">
        <v>45957</v>
      </c>
      <c r="F553" s="1">
        <v>45959</v>
      </c>
      <c r="G553" s="1">
        <v>45966</v>
      </c>
      <c r="H553" t="s">
        <v>17</v>
      </c>
      <c r="J553" s="1">
        <v>45984</v>
      </c>
      <c r="K553" s="7">
        <v>4</v>
      </c>
      <c r="L553" s="7">
        <v>2</v>
      </c>
      <c r="M553" s="7">
        <v>7</v>
      </c>
      <c r="N553" s="7">
        <v>3</v>
      </c>
    </row>
    <row r="554" spans="1:14" x14ac:dyDescent="0.5">
      <c r="A554" t="s">
        <v>580</v>
      </c>
      <c r="B554" t="s">
        <v>19</v>
      </c>
      <c r="C554" t="s">
        <v>16</v>
      </c>
      <c r="D554" s="1">
        <v>45959</v>
      </c>
      <c r="E554" s="1">
        <v>45963</v>
      </c>
      <c r="F554" s="1">
        <v>45964</v>
      </c>
      <c r="G554" s="1">
        <v>45969</v>
      </c>
      <c r="H554" t="s">
        <v>17</v>
      </c>
      <c r="J554" s="1">
        <v>45992</v>
      </c>
      <c r="K554" s="7">
        <v>4</v>
      </c>
      <c r="L554" s="7">
        <v>1</v>
      </c>
      <c r="M554" s="7">
        <v>5</v>
      </c>
      <c r="N554" s="7">
        <v>9</v>
      </c>
    </row>
    <row r="555" spans="1:14" ht="36" x14ac:dyDescent="0.5">
      <c r="A555" t="s">
        <v>581</v>
      </c>
      <c r="B555" t="s">
        <v>21</v>
      </c>
      <c r="C555" t="s">
        <v>22</v>
      </c>
      <c r="D555" s="1">
        <v>45955</v>
      </c>
      <c r="H555" t="s">
        <v>23</v>
      </c>
      <c r="I555" s="2" t="s">
        <v>63</v>
      </c>
    </row>
    <row r="556" spans="1:14" x14ac:dyDescent="0.5">
      <c r="A556" t="s">
        <v>582</v>
      </c>
      <c r="B556" t="s">
        <v>21</v>
      </c>
      <c r="C556" t="s">
        <v>16</v>
      </c>
      <c r="D556" s="1">
        <v>45946</v>
      </c>
      <c r="E556" s="1">
        <v>45947</v>
      </c>
      <c r="F556" s="1">
        <v>45950</v>
      </c>
      <c r="G556" s="1">
        <v>45957</v>
      </c>
      <c r="H556" t="s">
        <v>17</v>
      </c>
      <c r="J556" s="1">
        <v>45979</v>
      </c>
      <c r="K556" s="7">
        <v>1</v>
      </c>
      <c r="L556" s="7">
        <v>3</v>
      </c>
      <c r="M556" s="7">
        <v>7</v>
      </c>
      <c r="N556" s="7">
        <v>2</v>
      </c>
    </row>
    <row r="557" spans="1:14" x14ac:dyDescent="0.5">
      <c r="A557" t="s">
        <v>583</v>
      </c>
      <c r="B557" t="s">
        <v>15</v>
      </c>
      <c r="C557" t="s">
        <v>16</v>
      </c>
      <c r="D557" s="1">
        <v>45958</v>
      </c>
      <c r="E557" s="1">
        <v>45962</v>
      </c>
      <c r="F557" s="1">
        <v>45967</v>
      </c>
      <c r="G557" s="1">
        <v>45970</v>
      </c>
      <c r="H557" t="s">
        <v>17</v>
      </c>
      <c r="J557" s="1">
        <v>45991</v>
      </c>
      <c r="K557" s="7">
        <v>4</v>
      </c>
      <c r="L557" s="7">
        <v>5</v>
      </c>
      <c r="M557" s="7">
        <v>3</v>
      </c>
      <c r="N557" s="7">
        <v>8</v>
      </c>
    </row>
    <row r="558" spans="1:14" x14ac:dyDescent="0.5">
      <c r="A558" t="s">
        <v>584</v>
      </c>
      <c r="B558" t="s">
        <v>32</v>
      </c>
      <c r="C558" t="s">
        <v>30</v>
      </c>
      <c r="D558" s="1">
        <v>45948</v>
      </c>
      <c r="E558" s="1">
        <v>45951</v>
      </c>
      <c r="F558" s="1">
        <v>45956</v>
      </c>
      <c r="G558" s="1">
        <v>45958</v>
      </c>
      <c r="H558" t="s">
        <v>17</v>
      </c>
      <c r="J558" s="1">
        <v>45982</v>
      </c>
      <c r="K558" s="7">
        <v>3</v>
      </c>
      <c r="L558" s="7">
        <v>5</v>
      </c>
      <c r="M558" s="7">
        <v>2</v>
      </c>
      <c r="N558" s="7">
        <v>1</v>
      </c>
    </row>
    <row r="559" spans="1:14" x14ac:dyDescent="0.5">
      <c r="A559" t="s">
        <v>585</v>
      </c>
      <c r="B559" t="s">
        <v>21</v>
      </c>
      <c r="C559" t="s">
        <v>16</v>
      </c>
      <c r="D559" s="1">
        <v>45932</v>
      </c>
      <c r="E559" s="1">
        <v>45935</v>
      </c>
      <c r="F559" s="1">
        <v>45940</v>
      </c>
      <c r="G559" s="1">
        <v>45943</v>
      </c>
      <c r="H559" t="s">
        <v>17</v>
      </c>
      <c r="J559" s="1">
        <v>45961</v>
      </c>
      <c r="K559" s="7">
        <v>3</v>
      </c>
      <c r="L559" s="7">
        <v>5</v>
      </c>
      <c r="M559" s="7">
        <v>3</v>
      </c>
      <c r="N559" s="7">
        <v>2</v>
      </c>
    </row>
    <row r="560" spans="1:14" x14ac:dyDescent="0.5">
      <c r="A560" t="s">
        <v>586</v>
      </c>
      <c r="B560" t="s">
        <v>19</v>
      </c>
      <c r="C560" t="s">
        <v>16</v>
      </c>
      <c r="D560" s="1">
        <v>45950</v>
      </c>
      <c r="E560" s="1">
        <v>45951</v>
      </c>
      <c r="F560" s="1">
        <v>45955</v>
      </c>
      <c r="G560" s="1">
        <v>45957</v>
      </c>
      <c r="H560" t="s">
        <v>17</v>
      </c>
      <c r="J560" s="1">
        <v>45973</v>
      </c>
      <c r="K560" s="7">
        <v>1</v>
      </c>
      <c r="L560" s="7">
        <v>4</v>
      </c>
      <c r="M560" s="7">
        <v>2</v>
      </c>
      <c r="N560" s="7">
        <v>6</v>
      </c>
    </row>
    <row r="561" spans="1:14" ht="36" x14ac:dyDescent="0.5">
      <c r="A561" t="s">
        <v>587</v>
      </c>
      <c r="B561" t="s">
        <v>19</v>
      </c>
      <c r="C561" t="s">
        <v>22</v>
      </c>
      <c r="D561" s="1">
        <v>45933</v>
      </c>
      <c r="H561" t="s">
        <v>23</v>
      </c>
      <c r="I561" s="2" t="s">
        <v>26</v>
      </c>
    </row>
    <row r="562" spans="1:14" x14ac:dyDescent="0.5">
      <c r="A562" t="s">
        <v>588</v>
      </c>
      <c r="B562" t="s">
        <v>32</v>
      </c>
      <c r="C562" t="s">
        <v>16</v>
      </c>
      <c r="D562" s="1">
        <v>45938</v>
      </c>
      <c r="E562" s="1">
        <v>45941</v>
      </c>
      <c r="F562" s="1">
        <v>45944</v>
      </c>
      <c r="G562" s="1">
        <v>45949</v>
      </c>
      <c r="H562" t="s">
        <v>17</v>
      </c>
      <c r="J562" s="1">
        <v>45973</v>
      </c>
      <c r="K562" s="7">
        <v>3</v>
      </c>
      <c r="L562" s="7">
        <v>3</v>
      </c>
      <c r="M562" s="7">
        <v>5</v>
      </c>
      <c r="N562" s="7">
        <v>6</v>
      </c>
    </row>
    <row r="563" spans="1:14" x14ac:dyDescent="0.5">
      <c r="A563" t="s">
        <v>589</v>
      </c>
      <c r="B563" t="s">
        <v>19</v>
      </c>
      <c r="C563" t="s">
        <v>22</v>
      </c>
      <c r="D563" s="1">
        <v>45951</v>
      </c>
      <c r="H563" t="s">
        <v>23</v>
      </c>
      <c r="I563" s="2" t="s">
        <v>101</v>
      </c>
    </row>
    <row r="564" spans="1:14" x14ac:dyDescent="0.5">
      <c r="A564" t="s">
        <v>590</v>
      </c>
      <c r="B564" t="s">
        <v>19</v>
      </c>
      <c r="C564" t="s">
        <v>16</v>
      </c>
      <c r="D564" s="1">
        <v>45952</v>
      </c>
      <c r="E564" s="1">
        <v>45953</v>
      </c>
      <c r="F564" s="1">
        <v>45955</v>
      </c>
      <c r="G564" s="1">
        <v>45957</v>
      </c>
      <c r="H564" t="s">
        <v>17</v>
      </c>
      <c r="J564" s="1">
        <v>45976</v>
      </c>
      <c r="K564" s="7">
        <v>1</v>
      </c>
      <c r="L564" s="7">
        <v>2</v>
      </c>
      <c r="M564" s="7">
        <v>2</v>
      </c>
      <c r="N564" s="7">
        <v>1</v>
      </c>
    </row>
    <row r="565" spans="1:14" x14ac:dyDescent="0.5">
      <c r="A565" t="s">
        <v>591</v>
      </c>
      <c r="B565" t="s">
        <v>32</v>
      </c>
      <c r="C565" t="s">
        <v>30</v>
      </c>
      <c r="D565" s="1">
        <v>45960</v>
      </c>
      <c r="E565" s="1">
        <v>45963</v>
      </c>
      <c r="F565" s="1">
        <v>45965</v>
      </c>
      <c r="G565" s="1">
        <v>45970</v>
      </c>
      <c r="H565" t="s">
        <v>17</v>
      </c>
      <c r="J565" s="1">
        <v>45996</v>
      </c>
      <c r="K565" s="7">
        <v>3</v>
      </c>
      <c r="L565" s="7">
        <v>2</v>
      </c>
      <c r="M565" s="7">
        <v>5</v>
      </c>
      <c r="N565" s="7">
        <v>3</v>
      </c>
    </row>
    <row r="566" spans="1:14" x14ac:dyDescent="0.5">
      <c r="A566" t="s">
        <v>592</v>
      </c>
      <c r="B566" t="s">
        <v>21</v>
      </c>
      <c r="C566" t="s">
        <v>16</v>
      </c>
      <c r="D566" s="1">
        <v>45940</v>
      </c>
      <c r="E566" s="1">
        <v>45942</v>
      </c>
      <c r="F566" s="1">
        <v>45945</v>
      </c>
      <c r="G566" s="1">
        <v>45951</v>
      </c>
      <c r="H566" t="s">
        <v>17</v>
      </c>
      <c r="J566" s="1">
        <v>45980</v>
      </c>
      <c r="K566" s="7">
        <v>2</v>
      </c>
      <c r="L566" s="7">
        <v>3</v>
      </c>
      <c r="M566" s="7">
        <v>6</v>
      </c>
      <c r="N566" s="7">
        <v>4</v>
      </c>
    </row>
    <row r="567" spans="1:14" x14ac:dyDescent="0.5">
      <c r="A567" t="s">
        <v>593</v>
      </c>
      <c r="B567" t="s">
        <v>21</v>
      </c>
      <c r="C567" t="s">
        <v>30</v>
      </c>
      <c r="D567" s="1">
        <v>45938</v>
      </c>
      <c r="E567" s="1">
        <v>45939</v>
      </c>
      <c r="F567" s="1">
        <v>45941</v>
      </c>
      <c r="G567" s="1">
        <v>45947</v>
      </c>
      <c r="H567" t="s">
        <v>17</v>
      </c>
      <c r="J567" s="1">
        <v>45969</v>
      </c>
      <c r="K567" s="7">
        <v>1</v>
      </c>
      <c r="L567" s="7">
        <v>2</v>
      </c>
      <c r="M567" s="7">
        <v>6</v>
      </c>
      <c r="N567" s="7">
        <v>5</v>
      </c>
    </row>
    <row r="568" spans="1:14" x14ac:dyDescent="0.5">
      <c r="A568" t="s">
        <v>594</v>
      </c>
      <c r="B568" t="s">
        <v>19</v>
      </c>
      <c r="C568" t="s">
        <v>30</v>
      </c>
      <c r="D568" s="1">
        <v>45954</v>
      </c>
      <c r="E568" s="1">
        <v>45959</v>
      </c>
      <c r="F568" s="1">
        <v>45963</v>
      </c>
      <c r="G568" s="1">
        <v>45965</v>
      </c>
      <c r="H568" t="s">
        <v>17</v>
      </c>
      <c r="J568" s="1">
        <v>45993</v>
      </c>
      <c r="K568" s="7">
        <v>5</v>
      </c>
      <c r="L568" s="7">
        <v>4</v>
      </c>
      <c r="M568" s="7">
        <v>2</v>
      </c>
      <c r="N568" s="7">
        <v>3</v>
      </c>
    </row>
    <row r="569" spans="1:14" x14ac:dyDescent="0.5">
      <c r="A569" t="s">
        <v>595</v>
      </c>
      <c r="B569" t="s">
        <v>19</v>
      </c>
      <c r="C569" t="s">
        <v>22</v>
      </c>
      <c r="D569" s="1">
        <v>45933</v>
      </c>
      <c r="H569" t="s">
        <v>23</v>
      </c>
      <c r="I569" s="2" t="s">
        <v>101</v>
      </c>
    </row>
    <row r="570" spans="1:14" x14ac:dyDescent="0.5">
      <c r="A570" t="s">
        <v>596</v>
      </c>
      <c r="B570" t="s">
        <v>21</v>
      </c>
      <c r="C570" t="s">
        <v>16</v>
      </c>
      <c r="D570" s="1">
        <v>45944</v>
      </c>
      <c r="E570" s="1">
        <v>45947</v>
      </c>
      <c r="F570" s="1">
        <v>45952</v>
      </c>
      <c r="G570" s="1">
        <v>45956</v>
      </c>
      <c r="H570" t="s">
        <v>17</v>
      </c>
      <c r="J570" s="1">
        <v>45969</v>
      </c>
      <c r="K570" s="7">
        <v>3</v>
      </c>
      <c r="L570" s="7">
        <v>5</v>
      </c>
      <c r="M570" s="7">
        <v>4</v>
      </c>
      <c r="N570" s="7">
        <v>9</v>
      </c>
    </row>
    <row r="571" spans="1:14" x14ac:dyDescent="0.5">
      <c r="A571" t="s">
        <v>597</v>
      </c>
      <c r="B571" t="s">
        <v>32</v>
      </c>
      <c r="C571" t="s">
        <v>16</v>
      </c>
      <c r="D571" s="1">
        <v>45934</v>
      </c>
      <c r="E571" s="1">
        <v>45936</v>
      </c>
      <c r="F571" s="1">
        <v>45938</v>
      </c>
      <c r="G571" s="1">
        <v>45945</v>
      </c>
      <c r="H571" t="s">
        <v>17</v>
      </c>
      <c r="J571" s="1">
        <v>45955</v>
      </c>
      <c r="K571" s="7">
        <v>2</v>
      </c>
      <c r="L571" s="7">
        <v>2</v>
      </c>
      <c r="M571" s="7">
        <v>7</v>
      </c>
      <c r="N571" s="7">
        <v>4</v>
      </c>
    </row>
    <row r="572" spans="1:14" x14ac:dyDescent="0.5">
      <c r="A572" t="s">
        <v>598</v>
      </c>
      <c r="B572" t="s">
        <v>19</v>
      </c>
      <c r="C572" t="s">
        <v>30</v>
      </c>
      <c r="D572" s="1">
        <v>45955</v>
      </c>
      <c r="E572" s="1">
        <v>45956</v>
      </c>
      <c r="F572" s="1">
        <v>45960</v>
      </c>
      <c r="G572" s="1">
        <v>45967</v>
      </c>
      <c r="H572" t="s">
        <v>17</v>
      </c>
      <c r="J572" s="1">
        <v>45993</v>
      </c>
      <c r="K572" s="7">
        <v>1</v>
      </c>
      <c r="L572" s="7">
        <v>4</v>
      </c>
      <c r="M572" s="7">
        <v>7</v>
      </c>
      <c r="N572" s="7">
        <v>9</v>
      </c>
    </row>
    <row r="573" spans="1:14" x14ac:dyDescent="0.5">
      <c r="A573" t="s">
        <v>599</v>
      </c>
      <c r="B573" t="s">
        <v>15</v>
      </c>
      <c r="C573" t="s">
        <v>16</v>
      </c>
      <c r="D573" s="1">
        <v>45951</v>
      </c>
      <c r="E573" s="1">
        <v>45954</v>
      </c>
      <c r="F573" s="1">
        <v>45959</v>
      </c>
      <c r="G573" s="1">
        <v>45966</v>
      </c>
      <c r="H573" t="s">
        <v>17</v>
      </c>
      <c r="J573" s="1">
        <v>45987</v>
      </c>
      <c r="K573" s="7">
        <v>3</v>
      </c>
      <c r="L573" s="7">
        <v>5</v>
      </c>
      <c r="M573" s="7">
        <v>7</v>
      </c>
      <c r="N573" s="7">
        <v>2</v>
      </c>
    </row>
    <row r="574" spans="1:14" x14ac:dyDescent="0.5">
      <c r="A574" t="s">
        <v>600</v>
      </c>
      <c r="B574" t="s">
        <v>32</v>
      </c>
      <c r="C574" t="s">
        <v>30</v>
      </c>
      <c r="D574" s="1">
        <v>45953</v>
      </c>
      <c r="E574" s="1">
        <v>45958</v>
      </c>
      <c r="F574" s="1">
        <v>45961</v>
      </c>
      <c r="G574" s="1">
        <v>45968</v>
      </c>
      <c r="H574" t="s">
        <v>17</v>
      </c>
      <c r="J574" s="1">
        <v>45995</v>
      </c>
      <c r="K574" s="7">
        <v>5</v>
      </c>
      <c r="L574" s="7">
        <v>3</v>
      </c>
      <c r="M574" s="7">
        <v>7</v>
      </c>
      <c r="N574" s="7">
        <v>1</v>
      </c>
    </row>
    <row r="575" spans="1:14" x14ac:dyDescent="0.5">
      <c r="A575" t="s">
        <v>601</v>
      </c>
      <c r="B575" t="s">
        <v>19</v>
      </c>
      <c r="C575" t="s">
        <v>30</v>
      </c>
      <c r="D575" s="1">
        <v>45958</v>
      </c>
      <c r="E575" s="1">
        <v>45961</v>
      </c>
      <c r="F575" s="1">
        <v>45964</v>
      </c>
      <c r="G575" s="1">
        <v>45967</v>
      </c>
      <c r="H575" t="s">
        <v>17</v>
      </c>
      <c r="J575" s="1">
        <v>45997</v>
      </c>
      <c r="K575" s="7">
        <v>3</v>
      </c>
      <c r="L575" s="7">
        <v>3</v>
      </c>
      <c r="M575" s="7">
        <v>3</v>
      </c>
      <c r="N575" s="7">
        <v>7</v>
      </c>
    </row>
    <row r="576" spans="1:14" x14ac:dyDescent="0.5">
      <c r="A576" t="s">
        <v>602</v>
      </c>
      <c r="B576" t="s">
        <v>19</v>
      </c>
      <c r="C576" t="s">
        <v>16</v>
      </c>
      <c r="D576" s="1">
        <v>45934</v>
      </c>
      <c r="E576" s="1">
        <v>45936</v>
      </c>
      <c r="F576" s="1">
        <v>45940</v>
      </c>
      <c r="G576" s="1">
        <v>45942</v>
      </c>
      <c r="H576" t="s">
        <v>17</v>
      </c>
      <c r="J576" s="1">
        <v>45971</v>
      </c>
      <c r="K576" s="7">
        <v>2</v>
      </c>
      <c r="L576" s="7">
        <v>4</v>
      </c>
      <c r="M576" s="7">
        <v>2</v>
      </c>
      <c r="N576" s="7">
        <v>0</v>
      </c>
    </row>
    <row r="577" spans="1:14" x14ac:dyDescent="0.5">
      <c r="A577" t="s">
        <v>603</v>
      </c>
      <c r="B577" t="s">
        <v>15</v>
      </c>
      <c r="C577" t="s">
        <v>30</v>
      </c>
      <c r="D577" s="1">
        <v>45945</v>
      </c>
      <c r="E577" s="1">
        <v>45949</v>
      </c>
      <c r="F577" s="1">
        <v>45953</v>
      </c>
      <c r="G577" s="1">
        <v>45955</v>
      </c>
      <c r="H577" t="s">
        <v>17</v>
      </c>
      <c r="J577" s="1">
        <v>45984</v>
      </c>
      <c r="K577" s="7">
        <v>4</v>
      </c>
      <c r="L577" s="7">
        <v>4</v>
      </c>
      <c r="M577" s="7">
        <v>2</v>
      </c>
      <c r="N577" s="7">
        <v>10</v>
      </c>
    </row>
    <row r="578" spans="1:14" x14ac:dyDescent="0.5">
      <c r="A578" t="s">
        <v>604</v>
      </c>
      <c r="B578" t="s">
        <v>15</v>
      </c>
      <c r="C578" t="s">
        <v>16</v>
      </c>
      <c r="D578" s="1">
        <v>45936</v>
      </c>
      <c r="E578" s="1">
        <v>45940</v>
      </c>
      <c r="F578" s="1">
        <v>45944</v>
      </c>
      <c r="G578" s="1">
        <v>45951</v>
      </c>
      <c r="H578" t="s">
        <v>17</v>
      </c>
      <c r="J578" s="1">
        <v>45970</v>
      </c>
      <c r="K578" s="7">
        <v>4</v>
      </c>
      <c r="L578" s="7">
        <v>4</v>
      </c>
      <c r="M578" s="7">
        <v>7</v>
      </c>
      <c r="N578" s="7">
        <v>7</v>
      </c>
    </row>
    <row r="579" spans="1:14" x14ac:dyDescent="0.5">
      <c r="A579" t="s">
        <v>605</v>
      </c>
      <c r="B579" t="s">
        <v>21</v>
      </c>
      <c r="C579" t="s">
        <v>30</v>
      </c>
      <c r="D579" s="1">
        <v>45953</v>
      </c>
      <c r="E579" s="1">
        <v>45955</v>
      </c>
      <c r="F579" s="1">
        <v>45957</v>
      </c>
      <c r="G579" s="1">
        <v>45960</v>
      </c>
      <c r="H579" t="s">
        <v>17</v>
      </c>
      <c r="J579" s="1">
        <v>45979</v>
      </c>
      <c r="K579" s="7">
        <v>2</v>
      </c>
      <c r="L579" s="7">
        <v>2</v>
      </c>
      <c r="M579" s="7">
        <v>3</v>
      </c>
      <c r="N579" s="7">
        <v>3</v>
      </c>
    </row>
    <row r="580" spans="1:14" x14ac:dyDescent="0.5">
      <c r="A580" t="s">
        <v>606</v>
      </c>
      <c r="B580" t="s">
        <v>32</v>
      </c>
      <c r="C580" t="s">
        <v>30</v>
      </c>
      <c r="D580" s="1">
        <v>45940</v>
      </c>
      <c r="E580" s="1">
        <v>45942</v>
      </c>
      <c r="F580" s="1">
        <v>45945</v>
      </c>
      <c r="G580" s="1">
        <v>45952</v>
      </c>
      <c r="H580" t="s">
        <v>17</v>
      </c>
      <c r="J580" s="1">
        <v>45965</v>
      </c>
      <c r="K580" s="7">
        <v>2</v>
      </c>
      <c r="L580" s="7">
        <v>3</v>
      </c>
      <c r="M580" s="7">
        <v>7</v>
      </c>
      <c r="N580" s="7">
        <v>6</v>
      </c>
    </row>
    <row r="581" spans="1:14" x14ac:dyDescent="0.5">
      <c r="A581" t="s">
        <v>607</v>
      </c>
      <c r="B581" t="s">
        <v>32</v>
      </c>
      <c r="C581" t="s">
        <v>30</v>
      </c>
      <c r="D581" s="1">
        <v>45959</v>
      </c>
      <c r="E581" s="1">
        <v>45960</v>
      </c>
      <c r="F581" s="1">
        <v>45962</v>
      </c>
      <c r="G581" s="1">
        <v>45964</v>
      </c>
      <c r="H581" t="s">
        <v>17</v>
      </c>
      <c r="J581" s="1">
        <v>45989</v>
      </c>
      <c r="K581" s="7">
        <v>1</v>
      </c>
      <c r="L581" s="7">
        <v>2</v>
      </c>
      <c r="M581" s="7">
        <v>2</v>
      </c>
      <c r="N581" s="7">
        <v>9</v>
      </c>
    </row>
    <row r="582" spans="1:14" x14ac:dyDescent="0.5">
      <c r="A582" t="s">
        <v>608</v>
      </c>
      <c r="B582" t="s">
        <v>21</v>
      </c>
      <c r="C582" t="s">
        <v>16</v>
      </c>
      <c r="D582" s="1">
        <v>45931</v>
      </c>
      <c r="E582" s="1">
        <v>45935</v>
      </c>
      <c r="F582" s="1">
        <v>45937</v>
      </c>
      <c r="G582" s="1">
        <v>45940</v>
      </c>
      <c r="H582" t="s">
        <v>17</v>
      </c>
      <c r="J582" s="1">
        <v>45952</v>
      </c>
      <c r="K582" s="7">
        <v>4</v>
      </c>
      <c r="L582" s="7">
        <v>2</v>
      </c>
      <c r="M582" s="7">
        <v>3</v>
      </c>
      <c r="N582" s="7">
        <v>6</v>
      </c>
    </row>
    <row r="583" spans="1:14" x14ac:dyDescent="0.5">
      <c r="A583" t="s">
        <v>609</v>
      </c>
      <c r="B583" t="s">
        <v>32</v>
      </c>
      <c r="C583" t="s">
        <v>16</v>
      </c>
      <c r="D583" s="1">
        <v>45932</v>
      </c>
      <c r="E583" s="1">
        <v>45933</v>
      </c>
      <c r="F583" s="1">
        <v>45938</v>
      </c>
      <c r="G583" s="1">
        <v>45943</v>
      </c>
      <c r="H583" t="s">
        <v>17</v>
      </c>
      <c r="J583" s="1">
        <v>45963</v>
      </c>
      <c r="K583" s="7">
        <v>1</v>
      </c>
      <c r="L583" s="7">
        <v>5</v>
      </c>
      <c r="M583" s="7">
        <v>5</v>
      </c>
      <c r="N583" s="7">
        <v>3</v>
      </c>
    </row>
    <row r="584" spans="1:14" x14ac:dyDescent="0.5">
      <c r="A584" t="s">
        <v>610</v>
      </c>
      <c r="B584" t="s">
        <v>32</v>
      </c>
      <c r="C584" t="s">
        <v>16</v>
      </c>
      <c r="D584" s="1">
        <v>45941</v>
      </c>
      <c r="E584" s="1">
        <v>45944</v>
      </c>
      <c r="F584" s="1">
        <v>45948</v>
      </c>
      <c r="G584" s="1">
        <v>45952</v>
      </c>
      <c r="H584" t="s">
        <v>17</v>
      </c>
      <c r="J584" s="1">
        <v>45970</v>
      </c>
      <c r="K584" s="7">
        <v>3</v>
      </c>
      <c r="L584" s="7">
        <v>4</v>
      </c>
      <c r="M584" s="7">
        <v>4</v>
      </c>
      <c r="N584" s="7">
        <v>1</v>
      </c>
    </row>
    <row r="585" spans="1:14" x14ac:dyDescent="0.5">
      <c r="A585" t="s">
        <v>611</v>
      </c>
      <c r="B585" t="s">
        <v>32</v>
      </c>
      <c r="C585" t="s">
        <v>16</v>
      </c>
      <c r="D585" s="1">
        <v>45956</v>
      </c>
      <c r="E585" s="1">
        <v>45958</v>
      </c>
      <c r="F585" s="1">
        <v>45960</v>
      </c>
      <c r="G585" s="1">
        <v>45966</v>
      </c>
      <c r="H585" t="s">
        <v>17</v>
      </c>
      <c r="J585" s="1">
        <v>45996</v>
      </c>
      <c r="K585" s="7">
        <v>2</v>
      </c>
      <c r="L585" s="7">
        <v>2</v>
      </c>
      <c r="M585" s="7">
        <v>6</v>
      </c>
      <c r="N585" s="7">
        <v>5</v>
      </c>
    </row>
    <row r="586" spans="1:14" ht="36" x14ac:dyDescent="0.5">
      <c r="A586" t="s">
        <v>612</v>
      </c>
      <c r="B586" t="s">
        <v>32</v>
      </c>
      <c r="C586" t="s">
        <v>16</v>
      </c>
      <c r="D586" s="1">
        <v>45932</v>
      </c>
      <c r="E586" s="1">
        <v>45933</v>
      </c>
      <c r="F586" s="1">
        <v>45938</v>
      </c>
      <c r="G586" s="1">
        <v>45944</v>
      </c>
      <c r="H586" t="s">
        <v>23</v>
      </c>
      <c r="I586" s="2" t="s">
        <v>33</v>
      </c>
      <c r="K586" s="7">
        <v>1</v>
      </c>
      <c r="L586" s="7">
        <v>5</v>
      </c>
      <c r="M586" s="7">
        <v>6</v>
      </c>
    </row>
    <row r="587" spans="1:14" x14ac:dyDescent="0.5">
      <c r="A587" t="s">
        <v>613</v>
      </c>
      <c r="B587" t="s">
        <v>32</v>
      </c>
      <c r="C587" t="s">
        <v>30</v>
      </c>
      <c r="D587" s="1">
        <v>45940</v>
      </c>
      <c r="E587" s="1">
        <v>45942</v>
      </c>
      <c r="F587" s="1">
        <v>45943</v>
      </c>
      <c r="G587" s="1">
        <v>45950</v>
      </c>
      <c r="H587" t="s">
        <v>17</v>
      </c>
      <c r="J587" s="1">
        <v>45970</v>
      </c>
      <c r="K587" s="7">
        <v>2</v>
      </c>
      <c r="L587" s="7">
        <v>1</v>
      </c>
      <c r="M587" s="7">
        <v>7</v>
      </c>
      <c r="N587" s="7">
        <v>5</v>
      </c>
    </row>
    <row r="588" spans="1:14" x14ac:dyDescent="0.5">
      <c r="A588" t="s">
        <v>614</v>
      </c>
      <c r="B588" t="s">
        <v>15</v>
      </c>
      <c r="C588" t="s">
        <v>16</v>
      </c>
      <c r="D588" s="1">
        <v>45942</v>
      </c>
      <c r="E588" s="1">
        <v>45943</v>
      </c>
      <c r="F588" s="1">
        <v>45948</v>
      </c>
      <c r="G588" s="1">
        <v>45952</v>
      </c>
      <c r="H588" t="s">
        <v>17</v>
      </c>
      <c r="J588" s="1">
        <v>45970</v>
      </c>
      <c r="K588" s="7">
        <v>1</v>
      </c>
      <c r="L588" s="7">
        <v>5</v>
      </c>
      <c r="M588" s="7">
        <v>4</v>
      </c>
      <c r="N588" s="7">
        <v>8</v>
      </c>
    </row>
    <row r="589" spans="1:14" ht="36" x14ac:dyDescent="0.5">
      <c r="A589" t="s">
        <v>615</v>
      </c>
      <c r="B589" t="s">
        <v>32</v>
      </c>
      <c r="C589" t="s">
        <v>22</v>
      </c>
      <c r="D589" s="1">
        <v>45942</v>
      </c>
      <c r="H589" t="s">
        <v>23</v>
      </c>
      <c r="I589" s="2" t="s">
        <v>33</v>
      </c>
    </row>
    <row r="590" spans="1:14" x14ac:dyDescent="0.5">
      <c r="A590" t="s">
        <v>616</v>
      </c>
      <c r="B590" t="s">
        <v>15</v>
      </c>
      <c r="C590" t="s">
        <v>16</v>
      </c>
      <c r="D590" s="1">
        <v>45944</v>
      </c>
      <c r="E590" s="1">
        <v>45947</v>
      </c>
      <c r="F590" s="1">
        <v>45948</v>
      </c>
      <c r="G590" s="1">
        <v>45951</v>
      </c>
      <c r="H590" t="s">
        <v>23</v>
      </c>
      <c r="I590" s="2" t="s">
        <v>101</v>
      </c>
      <c r="K590" s="7">
        <v>3</v>
      </c>
      <c r="L590" s="7">
        <v>1</v>
      </c>
      <c r="M590" s="7">
        <v>3</v>
      </c>
    </row>
    <row r="591" spans="1:14" x14ac:dyDescent="0.5">
      <c r="A591" t="s">
        <v>617</v>
      </c>
      <c r="B591" t="s">
        <v>32</v>
      </c>
      <c r="C591" t="s">
        <v>16</v>
      </c>
      <c r="D591" s="1">
        <v>45935</v>
      </c>
      <c r="E591" s="1">
        <v>45938</v>
      </c>
      <c r="F591" s="1">
        <v>45939</v>
      </c>
      <c r="G591" s="1">
        <v>45943</v>
      </c>
      <c r="H591" t="s">
        <v>17</v>
      </c>
      <c r="J591" s="1">
        <v>45961</v>
      </c>
      <c r="K591" s="7">
        <v>3</v>
      </c>
      <c r="L591" s="7">
        <v>1</v>
      </c>
      <c r="M591" s="7">
        <v>4</v>
      </c>
      <c r="N591" s="7">
        <v>9</v>
      </c>
    </row>
    <row r="592" spans="1:14" ht="36" x14ac:dyDescent="0.5">
      <c r="A592" t="s">
        <v>618</v>
      </c>
      <c r="B592" t="s">
        <v>21</v>
      </c>
      <c r="C592" t="s">
        <v>22</v>
      </c>
      <c r="D592" s="1">
        <v>45938</v>
      </c>
      <c r="H592" t="s">
        <v>23</v>
      </c>
      <c r="I592" s="2" t="s">
        <v>63</v>
      </c>
    </row>
    <row r="593" spans="1:14" x14ac:dyDescent="0.5">
      <c r="A593" t="s">
        <v>619</v>
      </c>
      <c r="B593" t="s">
        <v>19</v>
      </c>
      <c r="C593" t="s">
        <v>16</v>
      </c>
      <c r="D593" s="1">
        <v>45947</v>
      </c>
      <c r="E593" s="1">
        <v>45952</v>
      </c>
      <c r="F593" s="1">
        <v>45953</v>
      </c>
      <c r="G593" s="1">
        <v>45956</v>
      </c>
      <c r="H593" t="s">
        <v>17</v>
      </c>
      <c r="J593" s="1">
        <v>45986</v>
      </c>
      <c r="K593" s="7">
        <v>5</v>
      </c>
      <c r="L593" s="7">
        <v>1</v>
      </c>
      <c r="M593" s="7">
        <v>3</v>
      </c>
      <c r="N593" s="7">
        <v>0</v>
      </c>
    </row>
    <row r="594" spans="1:14" x14ac:dyDescent="0.5">
      <c r="A594" t="s">
        <v>620</v>
      </c>
      <c r="B594" t="s">
        <v>15</v>
      </c>
      <c r="C594" t="s">
        <v>30</v>
      </c>
      <c r="D594" s="1">
        <v>45944</v>
      </c>
      <c r="E594" s="1">
        <v>45948</v>
      </c>
      <c r="F594" s="1">
        <v>45949</v>
      </c>
      <c r="G594" s="1">
        <v>45956</v>
      </c>
      <c r="H594" t="s">
        <v>23</v>
      </c>
      <c r="I594" s="2" t="s">
        <v>24</v>
      </c>
      <c r="K594" s="7">
        <v>4</v>
      </c>
      <c r="L594" s="7">
        <v>1</v>
      </c>
      <c r="M594" s="7">
        <v>7</v>
      </c>
    </row>
    <row r="595" spans="1:14" x14ac:dyDescent="0.5">
      <c r="A595" t="s">
        <v>621</v>
      </c>
      <c r="B595" t="s">
        <v>32</v>
      </c>
      <c r="C595" t="s">
        <v>16</v>
      </c>
      <c r="D595" s="1">
        <v>45949</v>
      </c>
      <c r="E595" s="1">
        <v>45954</v>
      </c>
      <c r="F595" s="1">
        <v>45958</v>
      </c>
      <c r="G595" s="1">
        <v>45962</v>
      </c>
      <c r="H595" t="s">
        <v>17</v>
      </c>
      <c r="J595" s="1">
        <v>45992</v>
      </c>
      <c r="K595" s="7">
        <v>5</v>
      </c>
      <c r="L595" s="7">
        <v>4</v>
      </c>
      <c r="M595" s="7">
        <v>4</v>
      </c>
      <c r="N595" s="7">
        <v>7</v>
      </c>
    </row>
    <row r="596" spans="1:14" x14ac:dyDescent="0.5">
      <c r="A596" t="s">
        <v>622</v>
      </c>
      <c r="B596" t="s">
        <v>21</v>
      </c>
      <c r="C596" t="s">
        <v>16</v>
      </c>
      <c r="D596" s="1">
        <v>45952</v>
      </c>
      <c r="E596" s="1">
        <v>45956</v>
      </c>
      <c r="F596" s="1">
        <v>45958</v>
      </c>
      <c r="G596" s="1">
        <v>45965</v>
      </c>
      <c r="H596" t="s">
        <v>17</v>
      </c>
      <c r="J596" s="1">
        <v>45984</v>
      </c>
      <c r="K596" s="7">
        <v>4</v>
      </c>
      <c r="L596" s="7">
        <v>2</v>
      </c>
      <c r="M596" s="7">
        <v>7</v>
      </c>
      <c r="N596" s="7">
        <v>2</v>
      </c>
    </row>
    <row r="597" spans="1:14" x14ac:dyDescent="0.5">
      <c r="A597" t="s">
        <v>623</v>
      </c>
      <c r="B597" t="s">
        <v>19</v>
      </c>
      <c r="C597" t="s">
        <v>16</v>
      </c>
      <c r="D597" s="1">
        <v>45956</v>
      </c>
      <c r="E597" s="1">
        <v>45959</v>
      </c>
      <c r="F597" s="1">
        <v>45961</v>
      </c>
      <c r="G597" s="1">
        <v>45963</v>
      </c>
      <c r="H597" t="s">
        <v>17</v>
      </c>
      <c r="J597" s="1">
        <v>45979</v>
      </c>
      <c r="K597" s="7">
        <v>3</v>
      </c>
      <c r="L597" s="7">
        <v>2</v>
      </c>
      <c r="M597" s="7">
        <v>2</v>
      </c>
      <c r="N597" s="7">
        <v>8</v>
      </c>
    </row>
    <row r="598" spans="1:14" x14ac:dyDescent="0.5">
      <c r="A598" t="s">
        <v>624</v>
      </c>
      <c r="B598" t="s">
        <v>15</v>
      </c>
      <c r="C598" t="s">
        <v>16</v>
      </c>
      <c r="D598" s="1">
        <v>45936</v>
      </c>
      <c r="E598" s="1">
        <v>45937</v>
      </c>
      <c r="F598" s="1">
        <v>45938</v>
      </c>
      <c r="G598" s="1">
        <v>45940</v>
      </c>
      <c r="H598" t="s">
        <v>23</v>
      </c>
      <c r="I598" s="2" t="s">
        <v>24</v>
      </c>
      <c r="K598" s="7">
        <v>1</v>
      </c>
      <c r="L598" s="7">
        <v>1</v>
      </c>
      <c r="M598" s="7">
        <v>2</v>
      </c>
    </row>
    <row r="599" spans="1:14" x14ac:dyDescent="0.5">
      <c r="A599" t="s">
        <v>625</v>
      </c>
      <c r="B599" t="s">
        <v>19</v>
      </c>
      <c r="C599" t="s">
        <v>16</v>
      </c>
      <c r="D599" s="1">
        <v>45936</v>
      </c>
      <c r="E599" s="1">
        <v>45938</v>
      </c>
      <c r="F599" s="1">
        <v>45940</v>
      </c>
      <c r="G599" s="1">
        <v>45944</v>
      </c>
      <c r="H599" t="s">
        <v>17</v>
      </c>
      <c r="J599" s="1">
        <v>45958</v>
      </c>
      <c r="K599" s="7">
        <v>2</v>
      </c>
      <c r="L599" s="7">
        <v>2</v>
      </c>
      <c r="M599" s="7">
        <v>4</v>
      </c>
      <c r="N599" s="7">
        <v>3</v>
      </c>
    </row>
    <row r="600" spans="1:14" x14ac:dyDescent="0.5">
      <c r="A600" t="s">
        <v>626</v>
      </c>
      <c r="B600" t="s">
        <v>21</v>
      </c>
      <c r="C600" t="s">
        <v>16</v>
      </c>
      <c r="D600" s="1">
        <v>45936</v>
      </c>
      <c r="E600" s="1">
        <v>45939</v>
      </c>
      <c r="F600" s="1">
        <v>45940</v>
      </c>
      <c r="G600" s="1">
        <v>45945</v>
      </c>
      <c r="H600" t="s">
        <v>17</v>
      </c>
      <c r="J600" s="1">
        <v>45971</v>
      </c>
      <c r="K600" s="7">
        <v>3</v>
      </c>
      <c r="L600" s="7">
        <v>1</v>
      </c>
      <c r="M600" s="7">
        <v>5</v>
      </c>
      <c r="N600" s="7">
        <v>1</v>
      </c>
    </row>
    <row r="601" spans="1:14" x14ac:dyDescent="0.5">
      <c r="A601" t="s">
        <v>627</v>
      </c>
      <c r="B601" t="s">
        <v>15</v>
      </c>
      <c r="C601" t="s">
        <v>16</v>
      </c>
      <c r="D601" s="1">
        <v>45933</v>
      </c>
      <c r="E601" s="1">
        <v>45936</v>
      </c>
      <c r="F601" s="1">
        <v>45938</v>
      </c>
      <c r="G601" s="1">
        <v>45942</v>
      </c>
      <c r="H601" t="s">
        <v>17</v>
      </c>
      <c r="J601" s="1">
        <v>45959</v>
      </c>
      <c r="K601" s="7">
        <v>3</v>
      </c>
      <c r="L601" s="7">
        <v>2</v>
      </c>
      <c r="M601" s="7">
        <v>4</v>
      </c>
      <c r="N601" s="7">
        <v>4</v>
      </c>
    </row>
    <row r="602" spans="1:14" x14ac:dyDescent="0.5">
      <c r="A602" t="s">
        <v>628</v>
      </c>
      <c r="B602" t="s">
        <v>19</v>
      </c>
      <c r="C602" t="s">
        <v>22</v>
      </c>
      <c r="D602" s="1">
        <v>45950</v>
      </c>
      <c r="H602" t="s">
        <v>23</v>
      </c>
      <c r="I602" s="2" t="s">
        <v>101</v>
      </c>
    </row>
    <row r="603" spans="1:14" x14ac:dyDescent="0.5">
      <c r="A603" t="s">
        <v>629</v>
      </c>
      <c r="B603" t="s">
        <v>32</v>
      </c>
      <c r="C603" t="s">
        <v>16</v>
      </c>
      <c r="D603" s="1">
        <v>45958</v>
      </c>
      <c r="E603" s="1">
        <v>45959</v>
      </c>
      <c r="F603" s="1">
        <v>45964</v>
      </c>
      <c r="G603" s="1">
        <v>45970</v>
      </c>
      <c r="H603" t="s">
        <v>17</v>
      </c>
      <c r="J603" s="1">
        <v>45981</v>
      </c>
      <c r="K603" s="7">
        <v>1</v>
      </c>
      <c r="L603" s="7">
        <v>5</v>
      </c>
      <c r="M603" s="7">
        <v>6</v>
      </c>
      <c r="N603" s="7">
        <v>3</v>
      </c>
    </row>
    <row r="604" spans="1:14" x14ac:dyDescent="0.5">
      <c r="A604" t="s">
        <v>630</v>
      </c>
      <c r="B604" t="s">
        <v>15</v>
      </c>
      <c r="C604" t="s">
        <v>30</v>
      </c>
      <c r="D604" s="1">
        <v>45943</v>
      </c>
      <c r="E604" s="1">
        <v>45946</v>
      </c>
      <c r="F604" s="1">
        <v>45950</v>
      </c>
      <c r="G604" s="1">
        <v>45952</v>
      </c>
      <c r="H604" t="s">
        <v>17</v>
      </c>
      <c r="J604" s="1">
        <v>45981</v>
      </c>
      <c r="K604" s="7">
        <v>3</v>
      </c>
      <c r="L604" s="7">
        <v>4</v>
      </c>
      <c r="M604" s="7">
        <v>2</v>
      </c>
      <c r="N604" s="7">
        <v>8</v>
      </c>
    </row>
    <row r="605" spans="1:14" x14ac:dyDescent="0.5">
      <c r="A605" t="s">
        <v>631</v>
      </c>
      <c r="B605" t="s">
        <v>19</v>
      </c>
      <c r="C605" t="s">
        <v>16</v>
      </c>
      <c r="D605" s="1">
        <v>45950</v>
      </c>
      <c r="E605" s="1">
        <v>45953</v>
      </c>
      <c r="F605" s="1">
        <v>45956</v>
      </c>
      <c r="G605" s="1">
        <v>45960</v>
      </c>
      <c r="H605" t="s">
        <v>17</v>
      </c>
      <c r="J605" s="1">
        <v>45982</v>
      </c>
      <c r="K605" s="7">
        <v>3</v>
      </c>
      <c r="L605" s="7">
        <v>3</v>
      </c>
      <c r="M605" s="7">
        <v>4</v>
      </c>
      <c r="N605" s="7">
        <v>6</v>
      </c>
    </row>
    <row r="606" spans="1:14" x14ac:dyDescent="0.5">
      <c r="A606" t="s">
        <v>632</v>
      </c>
      <c r="B606" t="s">
        <v>21</v>
      </c>
      <c r="C606" t="s">
        <v>30</v>
      </c>
      <c r="D606" s="1">
        <v>45952</v>
      </c>
      <c r="E606" s="1">
        <v>45953</v>
      </c>
      <c r="F606" s="1">
        <v>45954</v>
      </c>
      <c r="G606" s="1">
        <v>45961</v>
      </c>
      <c r="H606" t="s">
        <v>17</v>
      </c>
      <c r="J606" s="1">
        <v>45981</v>
      </c>
      <c r="K606" s="7">
        <v>1</v>
      </c>
      <c r="L606" s="7">
        <v>1</v>
      </c>
      <c r="M606" s="7">
        <v>7</v>
      </c>
      <c r="N606" s="7">
        <v>9</v>
      </c>
    </row>
    <row r="607" spans="1:14" x14ac:dyDescent="0.5">
      <c r="A607" t="s">
        <v>633</v>
      </c>
      <c r="B607" t="s">
        <v>21</v>
      </c>
      <c r="C607" t="s">
        <v>16</v>
      </c>
      <c r="D607" s="1">
        <v>45938</v>
      </c>
      <c r="E607" s="1">
        <v>45941</v>
      </c>
      <c r="F607" s="1">
        <v>45946</v>
      </c>
      <c r="G607" s="1">
        <v>45952</v>
      </c>
      <c r="H607" t="s">
        <v>17</v>
      </c>
      <c r="J607" s="1">
        <v>45966</v>
      </c>
      <c r="K607" s="7">
        <v>3</v>
      </c>
      <c r="L607" s="7">
        <v>5</v>
      </c>
      <c r="M607" s="7">
        <v>6</v>
      </c>
      <c r="N607" s="7">
        <v>3</v>
      </c>
    </row>
    <row r="608" spans="1:14" x14ac:dyDescent="0.5">
      <c r="A608" t="s">
        <v>634</v>
      </c>
      <c r="B608" t="s">
        <v>15</v>
      </c>
      <c r="C608" t="s">
        <v>16</v>
      </c>
      <c r="D608" s="1">
        <v>45946</v>
      </c>
      <c r="E608" s="1">
        <v>45950</v>
      </c>
      <c r="F608" s="1">
        <v>45955</v>
      </c>
      <c r="G608" s="1">
        <v>45962</v>
      </c>
      <c r="H608" t="s">
        <v>17</v>
      </c>
      <c r="J608" s="1">
        <v>45972</v>
      </c>
      <c r="K608" s="7">
        <v>4</v>
      </c>
      <c r="L608" s="7">
        <v>5</v>
      </c>
      <c r="M608" s="7">
        <v>7</v>
      </c>
      <c r="N608" s="7">
        <v>2</v>
      </c>
    </row>
    <row r="609" spans="1:14" x14ac:dyDescent="0.5">
      <c r="A609" t="s">
        <v>635</v>
      </c>
      <c r="B609" t="s">
        <v>19</v>
      </c>
      <c r="C609" t="s">
        <v>30</v>
      </c>
      <c r="D609" s="1">
        <v>45960</v>
      </c>
      <c r="E609" s="1">
        <v>45964</v>
      </c>
      <c r="F609" s="1">
        <v>45968</v>
      </c>
      <c r="G609" s="1">
        <v>45970</v>
      </c>
      <c r="H609" t="s">
        <v>17</v>
      </c>
      <c r="J609" s="1">
        <v>46000</v>
      </c>
      <c r="K609" s="7">
        <v>4</v>
      </c>
      <c r="L609" s="7">
        <v>4</v>
      </c>
      <c r="M609" s="7">
        <v>2</v>
      </c>
      <c r="N609" s="7">
        <v>4</v>
      </c>
    </row>
    <row r="610" spans="1:14" x14ac:dyDescent="0.5">
      <c r="A610" t="s">
        <v>636</v>
      </c>
      <c r="B610" t="s">
        <v>15</v>
      </c>
      <c r="C610" t="s">
        <v>16</v>
      </c>
      <c r="D610" s="1">
        <v>45949</v>
      </c>
      <c r="E610" s="1">
        <v>45953</v>
      </c>
      <c r="F610" s="1">
        <v>45957</v>
      </c>
      <c r="G610" s="1">
        <v>45962</v>
      </c>
      <c r="H610" t="s">
        <v>17</v>
      </c>
      <c r="J610" s="1">
        <v>45987</v>
      </c>
      <c r="K610" s="7">
        <v>4</v>
      </c>
      <c r="L610" s="7">
        <v>4</v>
      </c>
      <c r="M610" s="7">
        <v>5</v>
      </c>
      <c r="N610" s="7">
        <v>0</v>
      </c>
    </row>
    <row r="611" spans="1:14" x14ac:dyDescent="0.5">
      <c r="A611" t="s">
        <v>637</v>
      </c>
      <c r="B611" t="s">
        <v>15</v>
      </c>
      <c r="C611" t="s">
        <v>30</v>
      </c>
      <c r="D611" s="1">
        <v>45935</v>
      </c>
      <c r="E611" s="1">
        <v>45939</v>
      </c>
      <c r="F611" s="1">
        <v>45940</v>
      </c>
      <c r="G611" s="1">
        <v>45945</v>
      </c>
      <c r="H611" t="s">
        <v>17</v>
      </c>
      <c r="J611" s="1">
        <v>45964</v>
      </c>
      <c r="K611" s="7">
        <v>4</v>
      </c>
      <c r="L611" s="7">
        <v>1</v>
      </c>
      <c r="M611" s="7">
        <v>5</v>
      </c>
      <c r="N611" s="7">
        <v>1</v>
      </c>
    </row>
    <row r="612" spans="1:14" x14ac:dyDescent="0.5">
      <c r="A612" t="s">
        <v>638</v>
      </c>
      <c r="B612" t="s">
        <v>19</v>
      </c>
      <c r="C612" t="s">
        <v>30</v>
      </c>
      <c r="D612" s="1">
        <v>45938</v>
      </c>
      <c r="E612" s="1">
        <v>45941</v>
      </c>
      <c r="F612" s="1">
        <v>45942</v>
      </c>
      <c r="G612" s="1">
        <v>45948</v>
      </c>
      <c r="H612" t="s">
        <v>17</v>
      </c>
      <c r="J612" s="1">
        <v>45966</v>
      </c>
      <c r="K612" s="7">
        <v>3</v>
      </c>
      <c r="L612" s="7">
        <v>1</v>
      </c>
      <c r="M612" s="7">
        <v>6</v>
      </c>
      <c r="N612" s="7">
        <v>1</v>
      </c>
    </row>
    <row r="613" spans="1:14" x14ac:dyDescent="0.5">
      <c r="A613" t="s">
        <v>639</v>
      </c>
      <c r="B613" t="s">
        <v>19</v>
      </c>
      <c r="C613" t="s">
        <v>16</v>
      </c>
      <c r="D613" s="1">
        <v>45945</v>
      </c>
      <c r="E613" s="1">
        <v>45947</v>
      </c>
      <c r="F613" s="1">
        <v>45952</v>
      </c>
      <c r="G613" s="1">
        <v>45956</v>
      </c>
      <c r="H613" t="s">
        <v>17</v>
      </c>
      <c r="J613" s="1">
        <v>45979</v>
      </c>
      <c r="K613" s="7">
        <v>2</v>
      </c>
      <c r="L613" s="7">
        <v>5</v>
      </c>
      <c r="M613" s="7">
        <v>4</v>
      </c>
      <c r="N613" s="7">
        <v>2</v>
      </c>
    </row>
    <row r="614" spans="1:14" x14ac:dyDescent="0.5">
      <c r="A614" t="s">
        <v>640</v>
      </c>
      <c r="B614" t="s">
        <v>32</v>
      </c>
      <c r="C614" t="s">
        <v>16</v>
      </c>
      <c r="D614" s="1">
        <v>45951</v>
      </c>
      <c r="E614" s="1">
        <v>45955</v>
      </c>
      <c r="F614" s="1">
        <v>45960</v>
      </c>
      <c r="G614" s="1">
        <v>45962</v>
      </c>
      <c r="H614" t="s">
        <v>17</v>
      </c>
      <c r="J614" s="1">
        <v>45984</v>
      </c>
      <c r="K614" s="7">
        <v>4</v>
      </c>
      <c r="L614" s="7">
        <v>5</v>
      </c>
      <c r="M614" s="7">
        <v>2</v>
      </c>
      <c r="N614" s="7">
        <v>8</v>
      </c>
    </row>
    <row r="615" spans="1:14" x14ac:dyDescent="0.5">
      <c r="A615" t="s">
        <v>641</v>
      </c>
      <c r="B615" t="s">
        <v>19</v>
      </c>
      <c r="C615" t="s">
        <v>22</v>
      </c>
      <c r="D615" s="1">
        <v>45939</v>
      </c>
      <c r="H615" t="s">
        <v>23</v>
      </c>
      <c r="I615" s="2" t="s">
        <v>101</v>
      </c>
    </row>
    <row r="616" spans="1:14" x14ac:dyDescent="0.5">
      <c r="A616" t="s">
        <v>642</v>
      </c>
      <c r="B616" t="s">
        <v>21</v>
      </c>
      <c r="C616" t="s">
        <v>16</v>
      </c>
      <c r="D616" s="1">
        <v>45945</v>
      </c>
      <c r="E616" s="1">
        <v>45949</v>
      </c>
      <c r="F616" s="1">
        <v>45953</v>
      </c>
      <c r="G616" s="1">
        <v>45958</v>
      </c>
      <c r="H616" t="s">
        <v>17</v>
      </c>
      <c r="J616" s="1">
        <v>45980</v>
      </c>
      <c r="K616" s="7">
        <v>4</v>
      </c>
      <c r="L616" s="7">
        <v>4</v>
      </c>
      <c r="M616" s="7">
        <v>5</v>
      </c>
      <c r="N616" s="7">
        <v>6</v>
      </c>
    </row>
    <row r="617" spans="1:14" x14ac:dyDescent="0.5">
      <c r="A617" t="s">
        <v>643</v>
      </c>
      <c r="B617" t="s">
        <v>15</v>
      </c>
      <c r="C617" t="s">
        <v>16</v>
      </c>
      <c r="D617" s="1">
        <v>45939</v>
      </c>
      <c r="E617" s="1">
        <v>45942</v>
      </c>
      <c r="F617" s="1">
        <v>45943</v>
      </c>
      <c r="G617" s="1">
        <v>45949</v>
      </c>
      <c r="H617" t="s">
        <v>17</v>
      </c>
      <c r="J617" s="1">
        <v>45960</v>
      </c>
      <c r="K617" s="7">
        <v>3</v>
      </c>
      <c r="L617" s="7">
        <v>1</v>
      </c>
      <c r="M617" s="7">
        <v>6</v>
      </c>
      <c r="N617" s="7">
        <v>6</v>
      </c>
    </row>
    <row r="618" spans="1:14" x14ac:dyDescent="0.5">
      <c r="A618" t="s">
        <v>644</v>
      </c>
      <c r="B618" t="s">
        <v>15</v>
      </c>
      <c r="C618" t="s">
        <v>16</v>
      </c>
      <c r="D618" s="1">
        <v>45952</v>
      </c>
      <c r="E618" s="1">
        <v>45957</v>
      </c>
      <c r="F618" s="1">
        <v>45958</v>
      </c>
      <c r="G618" s="1">
        <v>45961</v>
      </c>
      <c r="H618" t="s">
        <v>17</v>
      </c>
      <c r="J618" s="1">
        <v>45989</v>
      </c>
      <c r="K618" s="7">
        <v>5</v>
      </c>
      <c r="L618" s="7">
        <v>1</v>
      </c>
      <c r="M618" s="7">
        <v>3</v>
      </c>
      <c r="N618" s="7">
        <v>3</v>
      </c>
    </row>
    <row r="619" spans="1:14" x14ac:dyDescent="0.5">
      <c r="A619" t="s">
        <v>645</v>
      </c>
      <c r="B619" t="s">
        <v>21</v>
      </c>
      <c r="C619" t="s">
        <v>30</v>
      </c>
      <c r="D619" s="1">
        <v>45931</v>
      </c>
      <c r="E619" s="1">
        <v>45934</v>
      </c>
      <c r="F619" s="1">
        <v>45939</v>
      </c>
      <c r="G619" s="1">
        <v>45943</v>
      </c>
      <c r="H619" t="s">
        <v>17</v>
      </c>
      <c r="J619" s="1">
        <v>45971</v>
      </c>
      <c r="K619" s="7">
        <v>3</v>
      </c>
      <c r="L619" s="7">
        <v>5</v>
      </c>
      <c r="M619" s="7">
        <v>4</v>
      </c>
      <c r="N619" s="7">
        <v>4</v>
      </c>
    </row>
    <row r="620" spans="1:14" x14ac:dyDescent="0.5">
      <c r="A620" t="s">
        <v>646</v>
      </c>
      <c r="B620" t="s">
        <v>19</v>
      </c>
      <c r="C620" t="s">
        <v>22</v>
      </c>
      <c r="D620" s="1">
        <v>45959</v>
      </c>
      <c r="H620" t="s">
        <v>23</v>
      </c>
      <c r="I620" s="2" t="s">
        <v>101</v>
      </c>
    </row>
    <row r="621" spans="1:14" ht="36" x14ac:dyDescent="0.5">
      <c r="A621" t="s">
        <v>647</v>
      </c>
      <c r="B621" t="s">
        <v>21</v>
      </c>
      <c r="C621" t="s">
        <v>16</v>
      </c>
      <c r="D621" s="1">
        <v>45956</v>
      </c>
      <c r="E621" s="1">
        <v>45957</v>
      </c>
      <c r="F621" s="1">
        <v>45960</v>
      </c>
      <c r="G621" s="1">
        <v>45963</v>
      </c>
      <c r="H621" t="s">
        <v>23</v>
      </c>
      <c r="I621" s="2" t="s">
        <v>63</v>
      </c>
      <c r="K621" s="7">
        <v>1</v>
      </c>
      <c r="L621" s="7">
        <v>3</v>
      </c>
      <c r="M621" s="7">
        <v>3</v>
      </c>
    </row>
    <row r="622" spans="1:14" ht="36" x14ac:dyDescent="0.5">
      <c r="A622" t="s">
        <v>648</v>
      </c>
      <c r="B622" t="s">
        <v>21</v>
      </c>
      <c r="C622" t="s">
        <v>16</v>
      </c>
      <c r="D622" s="1">
        <v>45945</v>
      </c>
      <c r="E622" s="1">
        <v>45949</v>
      </c>
      <c r="F622" s="1">
        <v>45954</v>
      </c>
      <c r="G622" s="1">
        <v>45958</v>
      </c>
      <c r="H622" t="s">
        <v>23</v>
      </c>
      <c r="I622" s="2" t="s">
        <v>33</v>
      </c>
      <c r="K622" s="7">
        <v>4</v>
      </c>
      <c r="L622" s="7">
        <v>5</v>
      </c>
      <c r="M622" s="7">
        <v>4</v>
      </c>
    </row>
    <row r="623" spans="1:14" x14ac:dyDescent="0.5">
      <c r="A623" t="s">
        <v>649</v>
      </c>
      <c r="B623" t="s">
        <v>32</v>
      </c>
      <c r="C623" t="s">
        <v>30</v>
      </c>
      <c r="D623" s="1">
        <v>45959</v>
      </c>
      <c r="E623" s="1">
        <v>45960</v>
      </c>
      <c r="F623" s="1">
        <v>45963</v>
      </c>
      <c r="G623" s="1">
        <v>45965</v>
      </c>
      <c r="H623" t="s">
        <v>17</v>
      </c>
      <c r="J623" s="1">
        <v>45981</v>
      </c>
      <c r="K623" s="7">
        <v>1</v>
      </c>
      <c r="L623" s="7">
        <v>3</v>
      </c>
      <c r="M623" s="7">
        <v>2</v>
      </c>
      <c r="N623" s="7">
        <v>6</v>
      </c>
    </row>
    <row r="624" spans="1:14" x14ac:dyDescent="0.5">
      <c r="A624" t="s">
        <v>650</v>
      </c>
      <c r="B624" t="s">
        <v>21</v>
      </c>
      <c r="C624" t="s">
        <v>16</v>
      </c>
      <c r="D624" s="1">
        <v>45940</v>
      </c>
      <c r="E624" s="1">
        <v>45944</v>
      </c>
      <c r="F624" s="1">
        <v>45945</v>
      </c>
      <c r="G624" s="1">
        <v>45951</v>
      </c>
      <c r="H624" t="s">
        <v>17</v>
      </c>
      <c r="J624" s="1">
        <v>45971</v>
      </c>
      <c r="K624" s="7">
        <v>4</v>
      </c>
      <c r="L624" s="7">
        <v>1</v>
      </c>
      <c r="M624" s="7">
        <v>6</v>
      </c>
      <c r="N624" s="7">
        <v>9</v>
      </c>
    </row>
    <row r="625" spans="1:14" x14ac:dyDescent="0.5">
      <c r="A625" t="s">
        <v>651</v>
      </c>
      <c r="B625" t="s">
        <v>15</v>
      </c>
      <c r="C625" t="s">
        <v>16</v>
      </c>
      <c r="D625" s="1">
        <v>45952</v>
      </c>
      <c r="E625" s="1">
        <v>45957</v>
      </c>
      <c r="F625" s="1">
        <v>45962</v>
      </c>
      <c r="G625" s="1">
        <v>45969</v>
      </c>
      <c r="H625" t="s">
        <v>17</v>
      </c>
      <c r="J625" s="1">
        <v>45986</v>
      </c>
      <c r="K625" s="7">
        <v>5</v>
      </c>
      <c r="L625" s="7">
        <v>5</v>
      </c>
      <c r="M625" s="7">
        <v>7</v>
      </c>
      <c r="N625" s="7">
        <v>8</v>
      </c>
    </row>
    <row r="626" spans="1:14" x14ac:dyDescent="0.5">
      <c r="A626" t="s">
        <v>652</v>
      </c>
      <c r="B626" t="s">
        <v>21</v>
      </c>
      <c r="C626" t="s">
        <v>22</v>
      </c>
      <c r="D626" s="1">
        <v>45948</v>
      </c>
      <c r="H626" t="s">
        <v>23</v>
      </c>
      <c r="I626" s="2" t="s">
        <v>101</v>
      </c>
    </row>
    <row r="627" spans="1:14" x14ac:dyDescent="0.5">
      <c r="A627" t="s">
        <v>653</v>
      </c>
      <c r="B627" t="s">
        <v>15</v>
      </c>
      <c r="C627" t="s">
        <v>30</v>
      </c>
      <c r="D627" s="1">
        <v>45936</v>
      </c>
      <c r="E627" s="1">
        <v>45938</v>
      </c>
      <c r="F627" s="1">
        <v>45942</v>
      </c>
      <c r="G627" s="1">
        <v>45949</v>
      </c>
      <c r="H627" t="s">
        <v>17</v>
      </c>
      <c r="J627" s="1">
        <v>45976</v>
      </c>
      <c r="K627" s="7">
        <v>2</v>
      </c>
      <c r="L627" s="7">
        <v>4</v>
      </c>
      <c r="M627" s="7">
        <v>7</v>
      </c>
      <c r="N627" s="7">
        <v>0</v>
      </c>
    </row>
    <row r="628" spans="1:14" x14ac:dyDescent="0.5">
      <c r="A628" t="s">
        <v>654</v>
      </c>
      <c r="B628" t="s">
        <v>15</v>
      </c>
      <c r="C628" t="s">
        <v>16</v>
      </c>
      <c r="D628" s="1">
        <v>45933</v>
      </c>
      <c r="E628" s="1">
        <v>45938</v>
      </c>
      <c r="F628" s="1">
        <v>45940</v>
      </c>
      <c r="G628" s="1">
        <v>45942</v>
      </c>
      <c r="H628" t="s">
        <v>17</v>
      </c>
      <c r="J628" s="1">
        <v>45972</v>
      </c>
      <c r="K628" s="7">
        <v>5</v>
      </c>
      <c r="L628" s="7">
        <v>2</v>
      </c>
      <c r="M628" s="7">
        <v>2</v>
      </c>
      <c r="N628" s="7">
        <v>1</v>
      </c>
    </row>
    <row r="629" spans="1:14" x14ac:dyDescent="0.5">
      <c r="A629" t="s">
        <v>655</v>
      </c>
      <c r="B629" t="s">
        <v>15</v>
      </c>
      <c r="C629" t="s">
        <v>22</v>
      </c>
      <c r="D629" s="1">
        <v>45945</v>
      </c>
      <c r="H629" t="s">
        <v>23</v>
      </c>
      <c r="I629" s="2" t="s">
        <v>101</v>
      </c>
    </row>
    <row r="630" spans="1:14" ht="36" x14ac:dyDescent="0.5">
      <c r="A630" t="s">
        <v>656</v>
      </c>
      <c r="B630" t="s">
        <v>19</v>
      </c>
      <c r="C630" t="s">
        <v>16</v>
      </c>
      <c r="D630" s="1">
        <v>45961</v>
      </c>
      <c r="E630" s="1">
        <v>45964</v>
      </c>
      <c r="F630" s="1">
        <v>45965</v>
      </c>
      <c r="G630" s="1">
        <v>45968</v>
      </c>
      <c r="H630" t="s">
        <v>23</v>
      </c>
      <c r="I630" s="2" t="s">
        <v>26</v>
      </c>
      <c r="K630" s="7">
        <v>3</v>
      </c>
      <c r="L630" s="7">
        <v>1</v>
      </c>
      <c r="M630" s="7">
        <v>3</v>
      </c>
    </row>
    <row r="631" spans="1:14" x14ac:dyDescent="0.5">
      <c r="A631" t="s">
        <v>657</v>
      </c>
      <c r="B631" t="s">
        <v>32</v>
      </c>
      <c r="C631" t="s">
        <v>16</v>
      </c>
      <c r="D631" s="1">
        <v>45942</v>
      </c>
      <c r="E631" s="1">
        <v>45945</v>
      </c>
      <c r="F631" s="1">
        <v>45946</v>
      </c>
      <c r="G631" s="1">
        <v>45953</v>
      </c>
      <c r="H631" t="s">
        <v>17</v>
      </c>
      <c r="J631" s="1">
        <v>45978</v>
      </c>
      <c r="K631" s="7">
        <v>3</v>
      </c>
      <c r="L631" s="7">
        <v>1</v>
      </c>
      <c r="M631" s="7">
        <v>7</v>
      </c>
      <c r="N631" s="7">
        <v>3</v>
      </c>
    </row>
    <row r="632" spans="1:14" x14ac:dyDescent="0.5">
      <c r="A632" t="s">
        <v>658</v>
      </c>
      <c r="B632" t="s">
        <v>15</v>
      </c>
      <c r="C632" t="s">
        <v>30</v>
      </c>
      <c r="D632" s="1">
        <v>45949</v>
      </c>
      <c r="E632" s="1">
        <v>45950</v>
      </c>
      <c r="F632" s="1">
        <v>45955</v>
      </c>
      <c r="G632" s="1">
        <v>45961</v>
      </c>
      <c r="H632" t="s">
        <v>17</v>
      </c>
      <c r="J632" s="1">
        <v>45982</v>
      </c>
      <c r="K632" s="7">
        <v>1</v>
      </c>
      <c r="L632" s="7">
        <v>5</v>
      </c>
      <c r="M632" s="7">
        <v>6</v>
      </c>
      <c r="N632" s="7">
        <v>1</v>
      </c>
    </row>
    <row r="633" spans="1:14" ht="36" x14ac:dyDescent="0.5">
      <c r="A633" t="s">
        <v>659</v>
      </c>
      <c r="B633" t="s">
        <v>15</v>
      </c>
      <c r="C633" t="s">
        <v>22</v>
      </c>
      <c r="D633" s="1">
        <v>45940</v>
      </c>
      <c r="H633" t="s">
        <v>23</v>
      </c>
      <c r="I633" s="2" t="s">
        <v>63</v>
      </c>
    </row>
    <row r="634" spans="1:14" x14ac:dyDescent="0.5">
      <c r="A634" t="s">
        <v>660</v>
      </c>
      <c r="B634" t="s">
        <v>19</v>
      </c>
      <c r="C634" t="s">
        <v>30</v>
      </c>
      <c r="D634" s="1">
        <v>45951</v>
      </c>
      <c r="E634" s="1">
        <v>45952</v>
      </c>
      <c r="F634" s="1">
        <v>45954</v>
      </c>
      <c r="G634" s="1">
        <v>45956</v>
      </c>
      <c r="H634" t="s">
        <v>17</v>
      </c>
      <c r="J634" s="1">
        <v>45982</v>
      </c>
      <c r="K634" s="7">
        <v>1</v>
      </c>
      <c r="L634" s="7">
        <v>2</v>
      </c>
      <c r="M634" s="7">
        <v>2</v>
      </c>
      <c r="N634" s="7">
        <v>9</v>
      </c>
    </row>
    <row r="635" spans="1:14" x14ac:dyDescent="0.5">
      <c r="A635" t="s">
        <v>661</v>
      </c>
      <c r="B635" t="s">
        <v>15</v>
      </c>
      <c r="C635" t="s">
        <v>16</v>
      </c>
      <c r="D635" s="1">
        <v>45961</v>
      </c>
      <c r="E635" s="1">
        <v>45964</v>
      </c>
      <c r="F635" s="1">
        <v>45966</v>
      </c>
      <c r="G635" s="1">
        <v>45968</v>
      </c>
      <c r="H635" t="s">
        <v>17</v>
      </c>
      <c r="J635" s="1">
        <v>45987</v>
      </c>
      <c r="K635" s="7">
        <v>3</v>
      </c>
      <c r="L635" s="7">
        <v>2</v>
      </c>
      <c r="M635" s="7">
        <v>2</v>
      </c>
      <c r="N635" s="7">
        <v>3</v>
      </c>
    </row>
    <row r="636" spans="1:14" x14ac:dyDescent="0.5">
      <c r="A636" t="s">
        <v>662</v>
      </c>
      <c r="B636" t="s">
        <v>21</v>
      </c>
      <c r="C636" t="s">
        <v>16</v>
      </c>
      <c r="D636" s="1">
        <v>45944</v>
      </c>
      <c r="E636" s="1">
        <v>45947</v>
      </c>
      <c r="F636" s="1">
        <v>45949</v>
      </c>
      <c r="G636" s="1">
        <v>45951</v>
      </c>
      <c r="H636" t="s">
        <v>17</v>
      </c>
      <c r="J636" s="1">
        <v>45966</v>
      </c>
      <c r="K636" s="7">
        <v>3</v>
      </c>
      <c r="L636" s="7">
        <v>2</v>
      </c>
      <c r="M636" s="7">
        <v>2</v>
      </c>
      <c r="N636" s="7">
        <v>5</v>
      </c>
    </row>
    <row r="637" spans="1:14" x14ac:dyDescent="0.5">
      <c r="A637" t="s">
        <v>663</v>
      </c>
      <c r="B637" t="s">
        <v>21</v>
      </c>
      <c r="C637" t="s">
        <v>30</v>
      </c>
      <c r="D637" s="1">
        <v>45953</v>
      </c>
      <c r="E637" s="1">
        <v>45956</v>
      </c>
      <c r="F637" s="1">
        <v>45961</v>
      </c>
      <c r="G637" s="1">
        <v>45964</v>
      </c>
      <c r="H637" t="s">
        <v>23</v>
      </c>
      <c r="I637" s="2" t="s">
        <v>101</v>
      </c>
      <c r="K637" s="7">
        <v>3</v>
      </c>
      <c r="L637" s="7">
        <v>5</v>
      </c>
      <c r="M637" s="7">
        <v>3</v>
      </c>
    </row>
    <row r="638" spans="1:14" x14ac:dyDescent="0.5">
      <c r="A638" t="s">
        <v>664</v>
      </c>
      <c r="B638" t="s">
        <v>32</v>
      </c>
      <c r="C638" t="s">
        <v>16</v>
      </c>
      <c r="D638" s="1">
        <v>45939</v>
      </c>
      <c r="E638" s="1">
        <v>45943</v>
      </c>
      <c r="F638" s="1">
        <v>45948</v>
      </c>
      <c r="G638" s="1">
        <v>45950</v>
      </c>
      <c r="H638" t="s">
        <v>17</v>
      </c>
      <c r="J638" s="1">
        <v>45977</v>
      </c>
      <c r="K638" s="7">
        <v>4</v>
      </c>
      <c r="L638" s="7">
        <v>5</v>
      </c>
      <c r="M638" s="7">
        <v>2</v>
      </c>
      <c r="N638" s="7">
        <v>3</v>
      </c>
    </row>
    <row r="639" spans="1:14" x14ac:dyDescent="0.5">
      <c r="A639" t="s">
        <v>665</v>
      </c>
      <c r="B639" t="s">
        <v>15</v>
      </c>
      <c r="C639" t="s">
        <v>30</v>
      </c>
      <c r="D639" s="1">
        <v>45945</v>
      </c>
      <c r="E639" s="1">
        <v>45950</v>
      </c>
      <c r="F639" s="1">
        <v>45953</v>
      </c>
      <c r="G639" s="1">
        <v>45958</v>
      </c>
      <c r="H639" t="s">
        <v>17</v>
      </c>
      <c r="J639" s="1">
        <v>45973</v>
      </c>
      <c r="K639" s="7">
        <v>5</v>
      </c>
      <c r="L639" s="7">
        <v>3</v>
      </c>
      <c r="M639" s="7">
        <v>5</v>
      </c>
      <c r="N639" s="7">
        <v>2</v>
      </c>
    </row>
    <row r="640" spans="1:14" x14ac:dyDescent="0.5">
      <c r="A640" t="s">
        <v>666</v>
      </c>
      <c r="B640" t="s">
        <v>19</v>
      </c>
      <c r="C640" t="s">
        <v>30</v>
      </c>
      <c r="D640" s="1">
        <v>45958</v>
      </c>
      <c r="E640" s="1">
        <v>45962</v>
      </c>
      <c r="F640" s="1">
        <v>45965</v>
      </c>
      <c r="G640" s="1">
        <v>45969</v>
      </c>
      <c r="H640" t="s">
        <v>17</v>
      </c>
      <c r="J640" s="1">
        <v>45988</v>
      </c>
      <c r="K640" s="7">
        <v>4</v>
      </c>
      <c r="L640" s="7">
        <v>3</v>
      </c>
      <c r="M640" s="7">
        <v>4</v>
      </c>
      <c r="N640" s="7">
        <v>1</v>
      </c>
    </row>
    <row r="641" spans="1:14" x14ac:dyDescent="0.5">
      <c r="A641" t="s">
        <v>667</v>
      </c>
      <c r="B641" t="s">
        <v>21</v>
      </c>
      <c r="C641" t="s">
        <v>16</v>
      </c>
      <c r="D641" s="1">
        <v>45940</v>
      </c>
      <c r="E641" s="1">
        <v>45942</v>
      </c>
      <c r="F641" s="1">
        <v>45945</v>
      </c>
      <c r="G641" s="1">
        <v>45950</v>
      </c>
      <c r="H641" t="s">
        <v>17</v>
      </c>
      <c r="J641" s="1">
        <v>45963</v>
      </c>
      <c r="K641" s="7">
        <v>2</v>
      </c>
      <c r="L641" s="7">
        <v>3</v>
      </c>
      <c r="M641" s="7">
        <v>5</v>
      </c>
      <c r="N641" s="7">
        <v>8</v>
      </c>
    </row>
    <row r="642" spans="1:14" ht="36" x14ac:dyDescent="0.5">
      <c r="A642" t="s">
        <v>668</v>
      </c>
      <c r="B642" t="s">
        <v>19</v>
      </c>
      <c r="C642" t="s">
        <v>22</v>
      </c>
      <c r="D642" s="1">
        <v>45937</v>
      </c>
      <c r="H642" t="s">
        <v>23</v>
      </c>
      <c r="I642" s="2" t="s">
        <v>26</v>
      </c>
    </row>
    <row r="643" spans="1:14" x14ac:dyDescent="0.5">
      <c r="A643" t="s">
        <v>669</v>
      </c>
      <c r="B643" t="s">
        <v>19</v>
      </c>
      <c r="C643" t="s">
        <v>16</v>
      </c>
      <c r="D643" s="1">
        <v>45943</v>
      </c>
      <c r="E643" s="1">
        <v>45947</v>
      </c>
      <c r="F643" s="1">
        <v>45951</v>
      </c>
      <c r="G643" s="1">
        <v>45954</v>
      </c>
      <c r="H643" t="s">
        <v>17</v>
      </c>
      <c r="J643" s="1">
        <v>45979</v>
      </c>
      <c r="K643" s="7">
        <v>4</v>
      </c>
      <c r="L643" s="7">
        <v>4</v>
      </c>
      <c r="M643" s="7">
        <v>3</v>
      </c>
      <c r="N643" s="7">
        <v>9</v>
      </c>
    </row>
    <row r="644" spans="1:14" x14ac:dyDescent="0.5">
      <c r="A644" t="s">
        <v>670</v>
      </c>
      <c r="B644" t="s">
        <v>21</v>
      </c>
      <c r="C644" t="s">
        <v>16</v>
      </c>
      <c r="D644" s="1">
        <v>45958</v>
      </c>
      <c r="E644" s="1">
        <v>45961</v>
      </c>
      <c r="F644" s="1">
        <v>45962</v>
      </c>
      <c r="G644" s="1">
        <v>45965</v>
      </c>
      <c r="H644" t="s">
        <v>17</v>
      </c>
      <c r="J644" s="1">
        <v>45979</v>
      </c>
      <c r="K644" s="7">
        <v>3</v>
      </c>
      <c r="L644" s="7">
        <v>1</v>
      </c>
      <c r="M644" s="7">
        <v>3</v>
      </c>
      <c r="N644" s="7">
        <v>4</v>
      </c>
    </row>
    <row r="645" spans="1:14" x14ac:dyDescent="0.5">
      <c r="A645" t="s">
        <v>671</v>
      </c>
      <c r="B645" t="s">
        <v>19</v>
      </c>
      <c r="C645" t="s">
        <v>30</v>
      </c>
      <c r="D645" s="1">
        <v>45946</v>
      </c>
      <c r="E645" s="1">
        <v>45950</v>
      </c>
      <c r="F645" s="1">
        <v>45953</v>
      </c>
      <c r="G645" s="1">
        <v>45955</v>
      </c>
      <c r="H645" t="s">
        <v>17</v>
      </c>
      <c r="J645" s="1">
        <v>45973</v>
      </c>
      <c r="K645" s="7">
        <v>4</v>
      </c>
      <c r="L645" s="7">
        <v>3</v>
      </c>
      <c r="M645" s="7">
        <v>2</v>
      </c>
      <c r="N645" s="7">
        <v>4</v>
      </c>
    </row>
    <row r="646" spans="1:14" x14ac:dyDescent="0.5">
      <c r="A646" t="s">
        <v>672</v>
      </c>
      <c r="B646" t="s">
        <v>21</v>
      </c>
      <c r="C646" t="s">
        <v>30</v>
      </c>
      <c r="D646" s="1">
        <v>45934</v>
      </c>
      <c r="E646" s="1">
        <v>45935</v>
      </c>
      <c r="F646" s="1">
        <v>45939</v>
      </c>
      <c r="G646" s="1">
        <v>45945</v>
      </c>
      <c r="H646" t="s">
        <v>17</v>
      </c>
      <c r="J646" s="1">
        <v>45972</v>
      </c>
      <c r="K646" s="7">
        <v>1</v>
      </c>
      <c r="L646" s="7">
        <v>4</v>
      </c>
      <c r="M646" s="7">
        <v>6</v>
      </c>
      <c r="N646" s="7">
        <v>1</v>
      </c>
    </row>
    <row r="647" spans="1:14" x14ac:dyDescent="0.5">
      <c r="A647" t="s">
        <v>673</v>
      </c>
      <c r="B647" t="s">
        <v>19</v>
      </c>
      <c r="C647" t="s">
        <v>30</v>
      </c>
      <c r="D647" s="1">
        <v>45938</v>
      </c>
      <c r="E647" s="1">
        <v>45941</v>
      </c>
      <c r="F647" s="1">
        <v>45945</v>
      </c>
      <c r="G647" s="1">
        <v>45952</v>
      </c>
      <c r="H647" t="s">
        <v>17</v>
      </c>
      <c r="J647" s="1">
        <v>45967</v>
      </c>
      <c r="K647" s="7">
        <v>3</v>
      </c>
      <c r="L647" s="7">
        <v>4</v>
      </c>
      <c r="M647" s="7">
        <v>7</v>
      </c>
      <c r="N647" s="7">
        <v>0</v>
      </c>
    </row>
    <row r="648" spans="1:14" x14ac:dyDescent="0.5">
      <c r="A648" t="s">
        <v>674</v>
      </c>
      <c r="B648" t="s">
        <v>21</v>
      </c>
      <c r="C648" t="s">
        <v>30</v>
      </c>
      <c r="D648" s="1">
        <v>45943</v>
      </c>
      <c r="E648" s="1">
        <v>45948</v>
      </c>
      <c r="F648" s="1">
        <v>45953</v>
      </c>
      <c r="G648" s="1">
        <v>45960</v>
      </c>
      <c r="H648" t="s">
        <v>17</v>
      </c>
      <c r="J648" s="1">
        <v>45980</v>
      </c>
      <c r="K648" s="7">
        <v>5</v>
      </c>
      <c r="L648" s="7">
        <v>5</v>
      </c>
      <c r="M648" s="7">
        <v>7</v>
      </c>
      <c r="N648" s="7">
        <v>6</v>
      </c>
    </row>
    <row r="649" spans="1:14" x14ac:dyDescent="0.5">
      <c r="A649" t="s">
        <v>675</v>
      </c>
      <c r="B649" t="s">
        <v>15</v>
      </c>
      <c r="C649" t="s">
        <v>16</v>
      </c>
      <c r="D649" s="1">
        <v>45949</v>
      </c>
      <c r="E649" s="1">
        <v>45953</v>
      </c>
      <c r="F649" s="1">
        <v>45955</v>
      </c>
      <c r="G649" s="1">
        <v>45962</v>
      </c>
      <c r="H649" t="s">
        <v>17</v>
      </c>
      <c r="J649" s="1">
        <v>45992</v>
      </c>
      <c r="K649" s="7">
        <v>4</v>
      </c>
      <c r="L649" s="7">
        <v>2</v>
      </c>
      <c r="M649" s="7">
        <v>7</v>
      </c>
      <c r="N649" s="7">
        <v>5</v>
      </c>
    </row>
    <row r="650" spans="1:14" x14ac:dyDescent="0.5">
      <c r="A650" t="s">
        <v>676</v>
      </c>
      <c r="B650" t="s">
        <v>32</v>
      </c>
      <c r="C650" t="s">
        <v>16</v>
      </c>
      <c r="D650" s="1">
        <v>45942</v>
      </c>
      <c r="E650" s="1">
        <v>45945</v>
      </c>
      <c r="F650" s="1">
        <v>45947</v>
      </c>
      <c r="G650" s="1">
        <v>45952</v>
      </c>
      <c r="H650" t="s">
        <v>17</v>
      </c>
      <c r="J650" s="1">
        <v>45964</v>
      </c>
      <c r="K650" s="7">
        <v>3</v>
      </c>
      <c r="L650" s="7">
        <v>2</v>
      </c>
      <c r="M650" s="7">
        <v>5</v>
      </c>
      <c r="N650" s="7">
        <v>0</v>
      </c>
    </row>
    <row r="651" spans="1:14" x14ac:dyDescent="0.5">
      <c r="A651" t="s">
        <v>677</v>
      </c>
      <c r="B651" t="s">
        <v>21</v>
      </c>
      <c r="C651" t="s">
        <v>16</v>
      </c>
      <c r="D651" s="1">
        <v>45949</v>
      </c>
      <c r="E651" s="1">
        <v>45950</v>
      </c>
      <c r="F651" s="1">
        <v>45953</v>
      </c>
      <c r="G651" s="1">
        <v>45956</v>
      </c>
      <c r="H651" t="s">
        <v>23</v>
      </c>
      <c r="I651" s="2" t="s">
        <v>24</v>
      </c>
      <c r="K651" s="7">
        <v>1</v>
      </c>
      <c r="L651" s="7">
        <v>3</v>
      </c>
      <c r="M651" s="7">
        <v>3</v>
      </c>
    </row>
    <row r="652" spans="1:14" x14ac:dyDescent="0.5">
      <c r="A652" t="s">
        <v>678</v>
      </c>
      <c r="B652" t="s">
        <v>21</v>
      </c>
      <c r="C652" t="s">
        <v>30</v>
      </c>
      <c r="D652" s="1">
        <v>45940</v>
      </c>
      <c r="E652" s="1">
        <v>45941</v>
      </c>
      <c r="F652" s="1">
        <v>45942</v>
      </c>
      <c r="G652" s="1">
        <v>45946</v>
      </c>
      <c r="H652" t="s">
        <v>23</v>
      </c>
      <c r="I652" s="2" t="s">
        <v>101</v>
      </c>
      <c r="K652" s="7">
        <v>1</v>
      </c>
      <c r="L652" s="7">
        <v>1</v>
      </c>
      <c r="M652" s="7">
        <v>4</v>
      </c>
    </row>
    <row r="653" spans="1:14" x14ac:dyDescent="0.5">
      <c r="A653" t="s">
        <v>679</v>
      </c>
      <c r="B653" t="s">
        <v>32</v>
      </c>
      <c r="C653" t="s">
        <v>16</v>
      </c>
      <c r="D653" s="1">
        <v>45953</v>
      </c>
      <c r="E653" s="1">
        <v>45957</v>
      </c>
      <c r="F653" s="1">
        <v>45958</v>
      </c>
      <c r="G653" s="1">
        <v>45961</v>
      </c>
      <c r="H653" t="s">
        <v>23</v>
      </c>
      <c r="I653" s="2" t="s">
        <v>101</v>
      </c>
      <c r="K653" s="7">
        <v>4</v>
      </c>
      <c r="L653" s="7">
        <v>1</v>
      </c>
      <c r="M653" s="7">
        <v>3</v>
      </c>
    </row>
    <row r="654" spans="1:14" ht="36" x14ac:dyDescent="0.5">
      <c r="A654" t="s">
        <v>680</v>
      </c>
      <c r="B654" t="s">
        <v>21</v>
      </c>
      <c r="C654" t="s">
        <v>22</v>
      </c>
      <c r="D654" s="1">
        <v>45940</v>
      </c>
      <c r="H654" t="s">
        <v>23</v>
      </c>
      <c r="I654" s="2" t="s">
        <v>26</v>
      </c>
    </row>
    <row r="655" spans="1:14" x14ac:dyDescent="0.5">
      <c r="A655" t="s">
        <v>681</v>
      </c>
      <c r="B655" t="s">
        <v>21</v>
      </c>
      <c r="C655" t="s">
        <v>30</v>
      </c>
      <c r="D655" s="1">
        <v>45931</v>
      </c>
      <c r="E655" s="1">
        <v>45934</v>
      </c>
      <c r="F655" s="1">
        <v>45935</v>
      </c>
      <c r="G655" s="1">
        <v>45940</v>
      </c>
      <c r="H655" t="s">
        <v>17</v>
      </c>
      <c r="J655" s="1">
        <v>45957</v>
      </c>
      <c r="K655" s="7">
        <v>3</v>
      </c>
      <c r="L655" s="7">
        <v>1</v>
      </c>
      <c r="M655" s="7">
        <v>5</v>
      </c>
      <c r="N655" s="7">
        <v>3</v>
      </c>
    </row>
    <row r="656" spans="1:14" ht="36" x14ac:dyDescent="0.5">
      <c r="A656" t="s">
        <v>682</v>
      </c>
      <c r="B656" t="s">
        <v>19</v>
      </c>
      <c r="C656" t="s">
        <v>22</v>
      </c>
      <c r="D656" s="1">
        <v>45957</v>
      </c>
      <c r="H656" t="s">
        <v>23</v>
      </c>
      <c r="I656" s="2" t="s">
        <v>63</v>
      </c>
    </row>
    <row r="657" spans="1:14" x14ac:dyDescent="0.5">
      <c r="A657" t="s">
        <v>683</v>
      </c>
      <c r="B657" t="s">
        <v>32</v>
      </c>
      <c r="C657" t="s">
        <v>22</v>
      </c>
      <c r="D657" s="1">
        <v>45952</v>
      </c>
      <c r="H657" t="s">
        <v>23</v>
      </c>
      <c r="I657" s="2" t="s">
        <v>101</v>
      </c>
    </row>
    <row r="658" spans="1:14" x14ac:dyDescent="0.5">
      <c r="A658" t="s">
        <v>684</v>
      </c>
      <c r="B658" t="s">
        <v>15</v>
      </c>
      <c r="C658" t="s">
        <v>30</v>
      </c>
      <c r="D658" s="1">
        <v>45943</v>
      </c>
      <c r="E658" s="1">
        <v>45948</v>
      </c>
      <c r="F658" s="1">
        <v>45952</v>
      </c>
      <c r="G658" s="1">
        <v>45959</v>
      </c>
      <c r="H658" t="s">
        <v>17</v>
      </c>
      <c r="J658" s="1">
        <v>45980</v>
      </c>
      <c r="K658" s="7">
        <v>5</v>
      </c>
      <c r="L658" s="7">
        <v>4</v>
      </c>
      <c r="M658" s="7">
        <v>7</v>
      </c>
      <c r="N658" s="7">
        <v>2</v>
      </c>
    </row>
    <row r="659" spans="1:14" x14ac:dyDescent="0.5">
      <c r="A659" t="s">
        <v>685</v>
      </c>
      <c r="B659" t="s">
        <v>21</v>
      </c>
      <c r="C659" t="s">
        <v>16</v>
      </c>
      <c r="D659" s="1">
        <v>45939</v>
      </c>
      <c r="E659" s="1">
        <v>45941</v>
      </c>
      <c r="F659" s="1">
        <v>45945</v>
      </c>
      <c r="G659" s="1">
        <v>45949</v>
      </c>
      <c r="H659" t="s">
        <v>23</v>
      </c>
      <c r="I659" s="2" t="s">
        <v>24</v>
      </c>
      <c r="K659" s="7">
        <v>2</v>
      </c>
      <c r="L659" s="7">
        <v>4</v>
      </c>
      <c r="M659" s="7">
        <v>4</v>
      </c>
    </row>
    <row r="660" spans="1:14" x14ac:dyDescent="0.5">
      <c r="A660" t="s">
        <v>686</v>
      </c>
      <c r="B660" t="s">
        <v>32</v>
      </c>
      <c r="C660" t="s">
        <v>16</v>
      </c>
      <c r="D660" s="1">
        <v>45931</v>
      </c>
      <c r="E660" s="1">
        <v>45932</v>
      </c>
      <c r="F660" s="1">
        <v>45936</v>
      </c>
      <c r="G660" s="1">
        <v>45940</v>
      </c>
      <c r="H660" t="s">
        <v>23</v>
      </c>
      <c r="I660" s="2" t="s">
        <v>101</v>
      </c>
      <c r="K660" s="7">
        <v>1</v>
      </c>
      <c r="L660" s="7">
        <v>4</v>
      </c>
      <c r="M660" s="7">
        <v>4</v>
      </c>
    </row>
    <row r="661" spans="1:14" x14ac:dyDescent="0.5">
      <c r="A661" t="s">
        <v>687</v>
      </c>
      <c r="B661" t="s">
        <v>19</v>
      </c>
      <c r="C661" t="s">
        <v>16</v>
      </c>
      <c r="D661" s="1">
        <v>45949</v>
      </c>
      <c r="E661" s="1">
        <v>45951</v>
      </c>
      <c r="F661" s="1">
        <v>45956</v>
      </c>
      <c r="G661" s="1">
        <v>45958</v>
      </c>
      <c r="H661" t="s">
        <v>17</v>
      </c>
      <c r="J661" s="1">
        <v>45975</v>
      </c>
      <c r="K661" s="7">
        <v>2</v>
      </c>
      <c r="L661" s="7">
        <v>5</v>
      </c>
      <c r="M661" s="7">
        <v>2</v>
      </c>
      <c r="N661" s="7">
        <v>2</v>
      </c>
    </row>
    <row r="662" spans="1:14" x14ac:dyDescent="0.5">
      <c r="A662" t="s">
        <v>688</v>
      </c>
      <c r="B662" t="s">
        <v>15</v>
      </c>
      <c r="C662" t="s">
        <v>16</v>
      </c>
      <c r="D662" s="1">
        <v>45958</v>
      </c>
      <c r="E662" s="1">
        <v>45963</v>
      </c>
      <c r="F662" s="1">
        <v>45967</v>
      </c>
      <c r="G662" s="1">
        <v>45973</v>
      </c>
      <c r="H662" t="s">
        <v>17</v>
      </c>
      <c r="J662" s="1">
        <v>45992</v>
      </c>
      <c r="K662" s="7">
        <v>5</v>
      </c>
      <c r="L662" s="7">
        <v>4</v>
      </c>
      <c r="M662" s="7">
        <v>6</v>
      </c>
      <c r="N662" s="7">
        <v>1</v>
      </c>
    </row>
    <row r="663" spans="1:14" x14ac:dyDescent="0.5">
      <c r="A663" t="s">
        <v>689</v>
      </c>
      <c r="B663" t="s">
        <v>32</v>
      </c>
      <c r="C663" t="s">
        <v>16</v>
      </c>
      <c r="D663" s="1">
        <v>45952</v>
      </c>
      <c r="E663" s="1">
        <v>45956</v>
      </c>
      <c r="F663" s="1">
        <v>45957</v>
      </c>
      <c r="G663" s="1">
        <v>45961</v>
      </c>
      <c r="H663" t="s">
        <v>17</v>
      </c>
      <c r="J663" s="1">
        <v>45984</v>
      </c>
      <c r="K663" s="7">
        <v>4</v>
      </c>
      <c r="L663" s="7">
        <v>1</v>
      </c>
      <c r="M663" s="7">
        <v>4</v>
      </c>
      <c r="N663" s="7">
        <v>9</v>
      </c>
    </row>
    <row r="664" spans="1:14" x14ac:dyDescent="0.5">
      <c r="A664" t="s">
        <v>690</v>
      </c>
      <c r="B664" t="s">
        <v>15</v>
      </c>
      <c r="C664" t="s">
        <v>16</v>
      </c>
      <c r="D664" s="1">
        <v>45955</v>
      </c>
      <c r="E664" s="1">
        <v>45956</v>
      </c>
      <c r="F664" s="1">
        <v>45957</v>
      </c>
      <c r="G664" s="1">
        <v>45959</v>
      </c>
      <c r="H664" t="s">
        <v>17</v>
      </c>
      <c r="J664" s="1">
        <v>45979</v>
      </c>
      <c r="K664" s="7">
        <v>1</v>
      </c>
      <c r="L664" s="7">
        <v>1</v>
      </c>
      <c r="M664" s="7">
        <v>2</v>
      </c>
      <c r="N664" s="7">
        <v>5</v>
      </c>
    </row>
    <row r="665" spans="1:14" x14ac:dyDescent="0.5">
      <c r="A665" t="s">
        <v>691</v>
      </c>
      <c r="B665" t="s">
        <v>15</v>
      </c>
      <c r="C665" t="s">
        <v>16</v>
      </c>
      <c r="D665" s="1">
        <v>45954</v>
      </c>
      <c r="E665" s="1">
        <v>45956</v>
      </c>
      <c r="F665" s="1">
        <v>45958</v>
      </c>
      <c r="G665" s="1">
        <v>45964</v>
      </c>
      <c r="H665" t="s">
        <v>17</v>
      </c>
      <c r="J665" s="1">
        <v>45985</v>
      </c>
      <c r="K665" s="7">
        <v>2</v>
      </c>
      <c r="L665" s="7">
        <v>2</v>
      </c>
      <c r="M665" s="7">
        <v>6</v>
      </c>
      <c r="N665" s="7">
        <v>4</v>
      </c>
    </row>
    <row r="666" spans="1:14" x14ac:dyDescent="0.5">
      <c r="A666" t="s">
        <v>692</v>
      </c>
      <c r="B666" t="s">
        <v>15</v>
      </c>
      <c r="C666" t="s">
        <v>16</v>
      </c>
      <c r="D666" s="1">
        <v>45932</v>
      </c>
      <c r="E666" s="1">
        <v>45933</v>
      </c>
      <c r="F666" s="1">
        <v>45934</v>
      </c>
      <c r="G666" s="1">
        <v>45941</v>
      </c>
      <c r="H666" t="s">
        <v>17</v>
      </c>
      <c r="J666" s="1">
        <v>45959</v>
      </c>
      <c r="K666" s="7">
        <v>1</v>
      </c>
      <c r="L666" s="7">
        <v>1</v>
      </c>
      <c r="M666" s="7">
        <v>7</v>
      </c>
      <c r="N666" s="7">
        <v>9</v>
      </c>
    </row>
    <row r="667" spans="1:14" x14ac:dyDescent="0.5">
      <c r="A667" t="s">
        <v>693</v>
      </c>
      <c r="B667" t="s">
        <v>21</v>
      </c>
      <c r="C667" t="s">
        <v>16</v>
      </c>
      <c r="D667" s="1">
        <v>45960</v>
      </c>
      <c r="E667" s="1">
        <v>45962</v>
      </c>
      <c r="F667" s="1">
        <v>45966</v>
      </c>
      <c r="G667" s="1">
        <v>45968</v>
      </c>
      <c r="H667" t="s">
        <v>17</v>
      </c>
      <c r="J667" s="1">
        <v>45996</v>
      </c>
      <c r="K667" s="7">
        <v>2</v>
      </c>
      <c r="L667" s="7">
        <v>4</v>
      </c>
      <c r="M667" s="7">
        <v>2</v>
      </c>
      <c r="N667" s="7">
        <v>2</v>
      </c>
    </row>
    <row r="668" spans="1:14" x14ac:dyDescent="0.5">
      <c r="A668" t="s">
        <v>694</v>
      </c>
      <c r="B668" t="s">
        <v>21</v>
      </c>
      <c r="C668" t="s">
        <v>16</v>
      </c>
      <c r="D668" s="1">
        <v>45950</v>
      </c>
      <c r="E668" s="1">
        <v>45953</v>
      </c>
      <c r="F668" s="1">
        <v>45957</v>
      </c>
      <c r="G668" s="1">
        <v>45960</v>
      </c>
      <c r="H668" t="s">
        <v>17</v>
      </c>
      <c r="J668" s="1">
        <v>45979</v>
      </c>
      <c r="K668" s="7">
        <v>3</v>
      </c>
      <c r="L668" s="7">
        <v>4</v>
      </c>
      <c r="M668" s="7">
        <v>3</v>
      </c>
      <c r="N668" s="7">
        <v>7</v>
      </c>
    </row>
    <row r="669" spans="1:14" x14ac:dyDescent="0.5">
      <c r="A669" t="s">
        <v>695</v>
      </c>
      <c r="B669" t="s">
        <v>19</v>
      </c>
      <c r="C669" t="s">
        <v>16</v>
      </c>
      <c r="D669" s="1">
        <v>45954</v>
      </c>
      <c r="E669" s="1">
        <v>45957</v>
      </c>
      <c r="F669" s="1">
        <v>45960</v>
      </c>
      <c r="G669" s="1">
        <v>45963</v>
      </c>
      <c r="H669" t="s">
        <v>17</v>
      </c>
      <c r="J669" s="1">
        <v>45987</v>
      </c>
      <c r="K669" s="7">
        <v>3</v>
      </c>
      <c r="L669" s="7">
        <v>3</v>
      </c>
      <c r="M669" s="7">
        <v>3</v>
      </c>
      <c r="N669" s="7">
        <v>0</v>
      </c>
    </row>
    <row r="670" spans="1:14" x14ac:dyDescent="0.5">
      <c r="A670" t="s">
        <v>696</v>
      </c>
      <c r="B670" t="s">
        <v>19</v>
      </c>
      <c r="C670" t="s">
        <v>30</v>
      </c>
      <c r="D670" s="1">
        <v>45946</v>
      </c>
      <c r="E670" s="1">
        <v>45950</v>
      </c>
      <c r="F670" s="1">
        <v>45955</v>
      </c>
      <c r="G670" s="1">
        <v>45961</v>
      </c>
      <c r="H670" t="s">
        <v>17</v>
      </c>
      <c r="J670" s="1">
        <v>45974</v>
      </c>
      <c r="K670" s="7">
        <v>4</v>
      </c>
      <c r="L670" s="7">
        <v>5</v>
      </c>
      <c r="M670" s="7">
        <v>6</v>
      </c>
      <c r="N670" s="7">
        <v>2</v>
      </c>
    </row>
    <row r="671" spans="1:14" x14ac:dyDescent="0.5">
      <c r="A671" t="s">
        <v>697</v>
      </c>
      <c r="B671" t="s">
        <v>32</v>
      </c>
      <c r="C671" t="s">
        <v>30</v>
      </c>
      <c r="D671" s="1">
        <v>45957</v>
      </c>
      <c r="E671" s="1">
        <v>45962</v>
      </c>
      <c r="F671" s="1">
        <v>45963</v>
      </c>
      <c r="G671" s="1">
        <v>45965</v>
      </c>
      <c r="H671" t="s">
        <v>23</v>
      </c>
      <c r="I671" s="2" t="s">
        <v>24</v>
      </c>
      <c r="K671" s="7">
        <v>5</v>
      </c>
      <c r="L671" s="7">
        <v>1</v>
      </c>
      <c r="M671" s="7">
        <v>2</v>
      </c>
    </row>
    <row r="672" spans="1:14" ht="36" x14ac:dyDescent="0.5">
      <c r="A672" t="s">
        <v>698</v>
      </c>
      <c r="B672" t="s">
        <v>19</v>
      </c>
      <c r="C672" t="s">
        <v>22</v>
      </c>
      <c r="D672" s="1">
        <v>45959</v>
      </c>
      <c r="H672" t="s">
        <v>23</v>
      </c>
      <c r="I672" s="2" t="s">
        <v>33</v>
      </c>
    </row>
    <row r="673" spans="1:14" x14ac:dyDescent="0.5">
      <c r="A673" t="s">
        <v>699</v>
      </c>
      <c r="B673" t="s">
        <v>15</v>
      </c>
      <c r="C673" t="s">
        <v>16</v>
      </c>
      <c r="D673" s="1">
        <v>45959</v>
      </c>
      <c r="E673" s="1">
        <v>45960</v>
      </c>
      <c r="F673" s="1">
        <v>45965</v>
      </c>
      <c r="G673" s="1">
        <v>45970</v>
      </c>
      <c r="H673" t="s">
        <v>17</v>
      </c>
      <c r="J673" s="1">
        <v>45995</v>
      </c>
      <c r="K673" s="7">
        <v>1</v>
      </c>
      <c r="L673" s="7">
        <v>5</v>
      </c>
      <c r="M673" s="7">
        <v>5</v>
      </c>
      <c r="N673" s="7">
        <v>0</v>
      </c>
    </row>
    <row r="674" spans="1:14" x14ac:dyDescent="0.5">
      <c r="A674" t="s">
        <v>700</v>
      </c>
      <c r="B674" t="s">
        <v>15</v>
      </c>
      <c r="C674" t="s">
        <v>30</v>
      </c>
      <c r="D674" s="1">
        <v>45940</v>
      </c>
      <c r="E674" s="1">
        <v>45945</v>
      </c>
      <c r="F674" s="1">
        <v>45946</v>
      </c>
      <c r="G674" s="1">
        <v>45948</v>
      </c>
      <c r="H674" t="s">
        <v>17</v>
      </c>
      <c r="J674" s="1">
        <v>45959</v>
      </c>
      <c r="K674" s="7">
        <v>5</v>
      </c>
      <c r="L674" s="7">
        <v>1</v>
      </c>
      <c r="M674" s="7">
        <v>2</v>
      </c>
      <c r="N674" s="7">
        <v>6</v>
      </c>
    </row>
    <row r="675" spans="1:14" x14ac:dyDescent="0.5">
      <c r="A675" t="s">
        <v>701</v>
      </c>
      <c r="B675" t="s">
        <v>21</v>
      </c>
      <c r="C675" t="s">
        <v>30</v>
      </c>
      <c r="D675" s="1">
        <v>45955</v>
      </c>
      <c r="E675" s="1">
        <v>45957</v>
      </c>
      <c r="F675" s="1">
        <v>45959</v>
      </c>
      <c r="G675" s="1">
        <v>45964</v>
      </c>
      <c r="H675" t="s">
        <v>17</v>
      </c>
      <c r="J675" s="1">
        <v>45994</v>
      </c>
      <c r="K675" s="7">
        <v>2</v>
      </c>
      <c r="L675" s="7">
        <v>2</v>
      </c>
      <c r="M675" s="7">
        <v>5</v>
      </c>
      <c r="N675" s="7">
        <v>10</v>
      </c>
    </row>
    <row r="676" spans="1:14" x14ac:dyDescent="0.5">
      <c r="A676" t="s">
        <v>702</v>
      </c>
      <c r="B676" t="s">
        <v>15</v>
      </c>
      <c r="C676" t="s">
        <v>30</v>
      </c>
      <c r="D676" s="1">
        <v>45956</v>
      </c>
      <c r="E676" s="1">
        <v>45960</v>
      </c>
      <c r="F676" s="1">
        <v>45962</v>
      </c>
      <c r="G676" s="1">
        <v>45966</v>
      </c>
      <c r="H676" t="s">
        <v>17</v>
      </c>
      <c r="J676" s="1">
        <v>45994</v>
      </c>
      <c r="K676" s="7">
        <v>4</v>
      </c>
      <c r="L676" s="7">
        <v>2</v>
      </c>
      <c r="M676" s="7">
        <v>4</v>
      </c>
      <c r="N676" s="7">
        <v>8</v>
      </c>
    </row>
    <row r="677" spans="1:14" ht="36" x14ac:dyDescent="0.5">
      <c r="A677" t="s">
        <v>703</v>
      </c>
      <c r="B677" t="s">
        <v>32</v>
      </c>
      <c r="C677" t="s">
        <v>22</v>
      </c>
      <c r="D677" s="1">
        <v>45938</v>
      </c>
      <c r="H677" t="s">
        <v>23</v>
      </c>
      <c r="I677" s="2" t="s">
        <v>33</v>
      </c>
    </row>
    <row r="678" spans="1:14" x14ac:dyDescent="0.5">
      <c r="A678" t="s">
        <v>704</v>
      </c>
      <c r="B678" t="s">
        <v>15</v>
      </c>
      <c r="C678" t="s">
        <v>16</v>
      </c>
      <c r="D678" s="1">
        <v>45950</v>
      </c>
      <c r="E678" s="1">
        <v>45953</v>
      </c>
      <c r="F678" s="1">
        <v>45958</v>
      </c>
      <c r="G678" s="1">
        <v>45962</v>
      </c>
      <c r="H678" t="s">
        <v>17</v>
      </c>
      <c r="J678" s="1">
        <v>45990</v>
      </c>
      <c r="K678" s="7">
        <v>3</v>
      </c>
      <c r="L678" s="7">
        <v>5</v>
      </c>
      <c r="M678" s="7">
        <v>4</v>
      </c>
      <c r="N678" s="7">
        <v>10</v>
      </c>
    </row>
    <row r="679" spans="1:14" x14ac:dyDescent="0.5">
      <c r="A679" t="s">
        <v>705</v>
      </c>
      <c r="B679" t="s">
        <v>15</v>
      </c>
      <c r="C679" t="s">
        <v>22</v>
      </c>
      <c r="D679" s="1">
        <v>45956</v>
      </c>
      <c r="H679" t="s">
        <v>23</v>
      </c>
      <c r="I679" s="2" t="s">
        <v>24</v>
      </c>
    </row>
    <row r="680" spans="1:14" ht="36" x14ac:dyDescent="0.5">
      <c r="A680" t="s">
        <v>706</v>
      </c>
      <c r="B680" t="s">
        <v>32</v>
      </c>
      <c r="C680" t="s">
        <v>16</v>
      </c>
      <c r="D680" s="1">
        <v>45942</v>
      </c>
      <c r="E680" s="1">
        <v>45945</v>
      </c>
      <c r="F680" s="1">
        <v>45949</v>
      </c>
      <c r="G680" s="1">
        <v>45953</v>
      </c>
      <c r="H680" t="s">
        <v>23</v>
      </c>
      <c r="I680" s="2" t="s">
        <v>63</v>
      </c>
      <c r="K680" s="7">
        <v>3</v>
      </c>
      <c r="L680" s="7">
        <v>4</v>
      </c>
      <c r="M680" s="7">
        <v>4</v>
      </c>
    </row>
    <row r="681" spans="1:14" x14ac:dyDescent="0.5">
      <c r="A681" t="s">
        <v>707</v>
      </c>
      <c r="B681" t="s">
        <v>19</v>
      </c>
      <c r="C681" t="s">
        <v>16</v>
      </c>
      <c r="D681" s="1">
        <v>45938</v>
      </c>
      <c r="E681" s="1">
        <v>45942</v>
      </c>
      <c r="F681" s="1">
        <v>45945</v>
      </c>
      <c r="G681" s="1">
        <v>45947</v>
      </c>
      <c r="H681" t="s">
        <v>17</v>
      </c>
      <c r="J681" s="1">
        <v>45976</v>
      </c>
      <c r="K681" s="7">
        <v>4</v>
      </c>
      <c r="L681" s="7">
        <v>3</v>
      </c>
      <c r="M681" s="7">
        <v>2</v>
      </c>
      <c r="N681" s="7">
        <v>10</v>
      </c>
    </row>
    <row r="682" spans="1:14" x14ac:dyDescent="0.5">
      <c r="A682" t="s">
        <v>708</v>
      </c>
      <c r="B682" t="s">
        <v>19</v>
      </c>
      <c r="C682" t="s">
        <v>16</v>
      </c>
      <c r="D682" s="1">
        <v>45951</v>
      </c>
      <c r="E682" s="1">
        <v>45952</v>
      </c>
      <c r="F682" s="1">
        <v>45953</v>
      </c>
      <c r="G682" s="1">
        <v>45959</v>
      </c>
      <c r="H682" t="s">
        <v>17</v>
      </c>
      <c r="J682" s="1">
        <v>45971</v>
      </c>
      <c r="K682" s="7">
        <v>1</v>
      </c>
      <c r="L682" s="7">
        <v>1</v>
      </c>
      <c r="M682" s="7">
        <v>6</v>
      </c>
      <c r="N682" s="7">
        <v>2</v>
      </c>
    </row>
    <row r="683" spans="1:14" x14ac:dyDescent="0.5">
      <c r="A683" t="s">
        <v>709</v>
      </c>
      <c r="B683" t="s">
        <v>32</v>
      </c>
      <c r="C683" t="s">
        <v>16</v>
      </c>
      <c r="D683" s="1">
        <v>45937</v>
      </c>
      <c r="E683" s="1">
        <v>45942</v>
      </c>
      <c r="F683" s="1">
        <v>45943</v>
      </c>
      <c r="G683" s="1">
        <v>45948</v>
      </c>
      <c r="H683" t="s">
        <v>17</v>
      </c>
      <c r="J683" s="1">
        <v>45973</v>
      </c>
      <c r="K683" s="7">
        <v>5</v>
      </c>
      <c r="L683" s="7">
        <v>1</v>
      </c>
      <c r="M683" s="7">
        <v>5</v>
      </c>
      <c r="N683" s="7">
        <v>9</v>
      </c>
    </row>
    <row r="684" spans="1:14" x14ac:dyDescent="0.5">
      <c r="A684" t="s">
        <v>710</v>
      </c>
      <c r="B684" t="s">
        <v>21</v>
      </c>
      <c r="C684" t="s">
        <v>30</v>
      </c>
      <c r="D684" s="1">
        <v>45950</v>
      </c>
      <c r="E684" s="1">
        <v>45952</v>
      </c>
      <c r="F684" s="1">
        <v>45955</v>
      </c>
      <c r="G684" s="1">
        <v>45957</v>
      </c>
      <c r="H684" t="s">
        <v>17</v>
      </c>
      <c r="J684" s="1">
        <v>45973</v>
      </c>
      <c r="K684" s="7">
        <v>2</v>
      </c>
      <c r="L684" s="7">
        <v>3</v>
      </c>
      <c r="M684" s="7">
        <v>2</v>
      </c>
      <c r="N684" s="7">
        <v>8</v>
      </c>
    </row>
    <row r="685" spans="1:14" x14ac:dyDescent="0.5">
      <c r="A685" t="s">
        <v>711</v>
      </c>
      <c r="B685" t="s">
        <v>15</v>
      </c>
      <c r="C685" t="s">
        <v>22</v>
      </c>
      <c r="D685" s="1">
        <v>45939</v>
      </c>
      <c r="H685" t="s">
        <v>23</v>
      </c>
      <c r="I685" s="2" t="s">
        <v>101</v>
      </c>
    </row>
    <row r="686" spans="1:14" x14ac:dyDescent="0.5">
      <c r="A686" t="s">
        <v>712</v>
      </c>
      <c r="B686" t="s">
        <v>32</v>
      </c>
      <c r="C686" t="s">
        <v>22</v>
      </c>
      <c r="D686" s="1">
        <v>45952</v>
      </c>
      <c r="H686" t="s">
        <v>23</v>
      </c>
      <c r="I686" s="2" t="s">
        <v>101</v>
      </c>
    </row>
    <row r="687" spans="1:14" x14ac:dyDescent="0.5">
      <c r="A687" t="s">
        <v>713</v>
      </c>
      <c r="B687" t="s">
        <v>15</v>
      </c>
      <c r="C687" t="s">
        <v>16</v>
      </c>
      <c r="D687" s="1">
        <v>45955</v>
      </c>
      <c r="E687" s="1">
        <v>45960</v>
      </c>
      <c r="F687" s="1">
        <v>45965</v>
      </c>
      <c r="G687" s="1">
        <v>45969</v>
      </c>
      <c r="H687" t="s">
        <v>17</v>
      </c>
      <c r="J687" s="1">
        <v>45995</v>
      </c>
      <c r="K687" s="7">
        <v>5</v>
      </c>
      <c r="L687" s="7">
        <v>5</v>
      </c>
      <c r="M687" s="7">
        <v>4</v>
      </c>
      <c r="N687" s="7">
        <v>5</v>
      </c>
    </row>
    <row r="688" spans="1:14" ht="36" x14ac:dyDescent="0.5">
      <c r="A688" t="s">
        <v>714</v>
      </c>
      <c r="B688" t="s">
        <v>21</v>
      </c>
      <c r="C688" t="s">
        <v>22</v>
      </c>
      <c r="D688" s="1">
        <v>45954</v>
      </c>
      <c r="H688" t="s">
        <v>23</v>
      </c>
      <c r="I688" s="2" t="s">
        <v>33</v>
      </c>
    </row>
    <row r="689" spans="1:14" x14ac:dyDescent="0.5">
      <c r="A689" t="s">
        <v>715</v>
      </c>
      <c r="B689" t="s">
        <v>15</v>
      </c>
      <c r="C689" t="s">
        <v>22</v>
      </c>
      <c r="D689" s="1">
        <v>45955</v>
      </c>
      <c r="H689" t="s">
        <v>23</v>
      </c>
      <c r="I689" s="2" t="s">
        <v>24</v>
      </c>
    </row>
    <row r="690" spans="1:14" x14ac:dyDescent="0.5">
      <c r="A690" t="s">
        <v>716</v>
      </c>
      <c r="B690" t="s">
        <v>32</v>
      </c>
      <c r="C690" t="s">
        <v>16</v>
      </c>
      <c r="D690" s="1">
        <v>45952</v>
      </c>
      <c r="E690" s="1">
        <v>45955</v>
      </c>
      <c r="F690" s="1">
        <v>45960</v>
      </c>
      <c r="G690" s="1">
        <v>45963</v>
      </c>
      <c r="H690" t="s">
        <v>17</v>
      </c>
      <c r="J690" s="1">
        <v>45976</v>
      </c>
      <c r="K690" s="7">
        <v>3</v>
      </c>
      <c r="L690" s="7">
        <v>5</v>
      </c>
      <c r="M690" s="7">
        <v>3</v>
      </c>
      <c r="N690" s="7">
        <v>5</v>
      </c>
    </row>
    <row r="691" spans="1:14" x14ac:dyDescent="0.5">
      <c r="A691" t="s">
        <v>717</v>
      </c>
      <c r="B691" t="s">
        <v>15</v>
      </c>
      <c r="C691" t="s">
        <v>30</v>
      </c>
      <c r="D691" s="1">
        <v>45952</v>
      </c>
      <c r="E691" s="1">
        <v>45956</v>
      </c>
      <c r="F691" s="1">
        <v>45957</v>
      </c>
      <c r="G691" s="1">
        <v>45961</v>
      </c>
      <c r="H691" t="s">
        <v>17</v>
      </c>
      <c r="J691" s="1">
        <v>45983</v>
      </c>
      <c r="K691" s="7">
        <v>4</v>
      </c>
      <c r="L691" s="7">
        <v>1</v>
      </c>
      <c r="M691" s="7">
        <v>4</v>
      </c>
      <c r="N691" s="7">
        <v>2</v>
      </c>
    </row>
    <row r="692" spans="1:14" x14ac:dyDescent="0.5">
      <c r="A692" t="s">
        <v>718</v>
      </c>
      <c r="B692" t="s">
        <v>19</v>
      </c>
      <c r="C692" t="s">
        <v>16</v>
      </c>
      <c r="D692" s="1">
        <v>45957</v>
      </c>
      <c r="E692" s="1">
        <v>45960</v>
      </c>
      <c r="F692" s="1">
        <v>45962</v>
      </c>
      <c r="G692" s="1">
        <v>45968</v>
      </c>
      <c r="H692" t="s">
        <v>17</v>
      </c>
      <c r="J692" s="1">
        <v>45994</v>
      </c>
      <c r="K692" s="7">
        <v>3</v>
      </c>
      <c r="L692" s="7">
        <v>2</v>
      </c>
      <c r="M692" s="7">
        <v>6</v>
      </c>
      <c r="N692" s="7">
        <v>7</v>
      </c>
    </row>
    <row r="693" spans="1:14" x14ac:dyDescent="0.5">
      <c r="A693" t="s">
        <v>719</v>
      </c>
      <c r="B693" t="s">
        <v>21</v>
      </c>
      <c r="C693" t="s">
        <v>16</v>
      </c>
      <c r="D693" s="1">
        <v>45935</v>
      </c>
      <c r="E693" s="1">
        <v>45938</v>
      </c>
      <c r="F693" s="1">
        <v>45941</v>
      </c>
      <c r="G693" s="1">
        <v>45945</v>
      </c>
      <c r="H693" t="s">
        <v>17</v>
      </c>
      <c r="J693" s="1">
        <v>45964</v>
      </c>
      <c r="K693" s="7">
        <v>3</v>
      </c>
      <c r="L693" s="7">
        <v>3</v>
      </c>
      <c r="M693" s="7">
        <v>4</v>
      </c>
      <c r="N693" s="7">
        <v>3</v>
      </c>
    </row>
    <row r="694" spans="1:14" x14ac:dyDescent="0.5">
      <c r="A694" t="s">
        <v>720</v>
      </c>
      <c r="B694" t="s">
        <v>21</v>
      </c>
      <c r="C694" t="s">
        <v>30</v>
      </c>
      <c r="D694" s="1">
        <v>45951</v>
      </c>
      <c r="E694" s="1">
        <v>45953</v>
      </c>
      <c r="F694" s="1">
        <v>45954</v>
      </c>
      <c r="G694" s="1">
        <v>45961</v>
      </c>
      <c r="H694" t="s">
        <v>17</v>
      </c>
      <c r="J694" s="1">
        <v>45984</v>
      </c>
      <c r="K694" s="7">
        <v>2</v>
      </c>
      <c r="L694" s="7">
        <v>1</v>
      </c>
      <c r="M694" s="7">
        <v>7</v>
      </c>
      <c r="N694" s="7">
        <v>8</v>
      </c>
    </row>
    <row r="695" spans="1:14" x14ac:dyDescent="0.5">
      <c r="A695" t="s">
        <v>721</v>
      </c>
      <c r="B695" t="s">
        <v>21</v>
      </c>
      <c r="C695" t="s">
        <v>30</v>
      </c>
      <c r="D695" s="1">
        <v>45934</v>
      </c>
      <c r="E695" s="1">
        <v>45935</v>
      </c>
      <c r="F695" s="1">
        <v>45937</v>
      </c>
      <c r="G695" s="1">
        <v>45943</v>
      </c>
      <c r="H695" t="s">
        <v>17</v>
      </c>
      <c r="J695" s="1">
        <v>45954</v>
      </c>
      <c r="K695" s="7">
        <v>1</v>
      </c>
      <c r="L695" s="7">
        <v>2</v>
      </c>
      <c r="M695" s="7">
        <v>6</v>
      </c>
      <c r="N695" s="7">
        <v>7</v>
      </c>
    </row>
    <row r="696" spans="1:14" x14ac:dyDescent="0.5">
      <c r="A696" t="s">
        <v>722</v>
      </c>
      <c r="B696" t="s">
        <v>32</v>
      </c>
      <c r="C696" t="s">
        <v>16</v>
      </c>
      <c r="D696" s="1">
        <v>45959</v>
      </c>
      <c r="E696" s="1">
        <v>45960</v>
      </c>
      <c r="F696" s="1">
        <v>45965</v>
      </c>
      <c r="G696" s="1">
        <v>45968</v>
      </c>
      <c r="H696" t="s">
        <v>17</v>
      </c>
      <c r="J696" s="1">
        <v>45982</v>
      </c>
      <c r="K696" s="7">
        <v>1</v>
      </c>
      <c r="L696" s="7">
        <v>5</v>
      </c>
      <c r="M696" s="7">
        <v>3</v>
      </c>
      <c r="N696" s="7">
        <v>2</v>
      </c>
    </row>
    <row r="697" spans="1:14" x14ac:dyDescent="0.5">
      <c r="A697" t="s">
        <v>723</v>
      </c>
      <c r="B697" t="s">
        <v>21</v>
      </c>
      <c r="C697" t="s">
        <v>30</v>
      </c>
      <c r="D697" s="1">
        <v>45951</v>
      </c>
      <c r="E697" s="1">
        <v>45953</v>
      </c>
      <c r="F697" s="1">
        <v>45955</v>
      </c>
      <c r="G697" s="1">
        <v>45960</v>
      </c>
      <c r="H697" t="s">
        <v>17</v>
      </c>
      <c r="J697" s="1">
        <v>45974</v>
      </c>
      <c r="K697" s="7">
        <v>2</v>
      </c>
      <c r="L697" s="7">
        <v>2</v>
      </c>
      <c r="M697" s="7">
        <v>5</v>
      </c>
      <c r="N697" s="7">
        <v>2</v>
      </c>
    </row>
    <row r="698" spans="1:14" x14ac:dyDescent="0.5">
      <c r="A698" t="s">
        <v>724</v>
      </c>
      <c r="B698" t="s">
        <v>19</v>
      </c>
      <c r="C698" t="s">
        <v>16</v>
      </c>
      <c r="D698" s="1">
        <v>45951</v>
      </c>
      <c r="E698" s="1">
        <v>45955</v>
      </c>
      <c r="F698" s="1">
        <v>45959</v>
      </c>
      <c r="G698" s="1">
        <v>45963</v>
      </c>
      <c r="H698" t="s">
        <v>17</v>
      </c>
      <c r="J698" s="1">
        <v>45979</v>
      </c>
      <c r="K698" s="7">
        <v>4</v>
      </c>
      <c r="L698" s="7">
        <v>4</v>
      </c>
      <c r="M698" s="7">
        <v>4</v>
      </c>
      <c r="N698" s="7">
        <v>9</v>
      </c>
    </row>
    <row r="699" spans="1:14" x14ac:dyDescent="0.5">
      <c r="A699" t="s">
        <v>725</v>
      </c>
      <c r="B699" t="s">
        <v>32</v>
      </c>
      <c r="C699" t="s">
        <v>22</v>
      </c>
      <c r="D699" s="1">
        <v>45932</v>
      </c>
      <c r="H699" t="s">
        <v>23</v>
      </c>
      <c r="I699" s="2" t="s">
        <v>101</v>
      </c>
    </row>
    <row r="700" spans="1:14" x14ac:dyDescent="0.5">
      <c r="A700" t="s">
        <v>726</v>
      </c>
      <c r="B700" t="s">
        <v>19</v>
      </c>
      <c r="C700" t="s">
        <v>22</v>
      </c>
      <c r="D700" s="1">
        <v>45940</v>
      </c>
      <c r="H700" t="s">
        <v>23</v>
      </c>
      <c r="I700" s="2" t="s">
        <v>101</v>
      </c>
    </row>
    <row r="701" spans="1:14" x14ac:dyDescent="0.5">
      <c r="A701" t="s">
        <v>727</v>
      </c>
      <c r="B701" t="s">
        <v>15</v>
      </c>
      <c r="C701" t="s">
        <v>30</v>
      </c>
      <c r="D701" s="1">
        <v>45956</v>
      </c>
      <c r="E701" s="1">
        <v>45961</v>
      </c>
      <c r="F701" s="1">
        <v>45962</v>
      </c>
      <c r="G701" s="1">
        <v>45968</v>
      </c>
      <c r="H701" t="s">
        <v>17</v>
      </c>
      <c r="J701" s="1">
        <v>45988</v>
      </c>
      <c r="K701" s="7">
        <v>5</v>
      </c>
      <c r="L701" s="7">
        <v>1</v>
      </c>
      <c r="M701" s="7">
        <v>6</v>
      </c>
      <c r="N701" s="7">
        <v>7</v>
      </c>
    </row>
    <row r="702" spans="1:14" ht="36" x14ac:dyDescent="0.5">
      <c r="A702" t="s">
        <v>728</v>
      </c>
      <c r="B702" t="s">
        <v>15</v>
      </c>
      <c r="C702" t="s">
        <v>22</v>
      </c>
      <c r="D702" s="1">
        <v>45945</v>
      </c>
      <c r="H702" t="s">
        <v>23</v>
      </c>
      <c r="I702" s="2" t="s">
        <v>63</v>
      </c>
    </row>
    <row r="703" spans="1:14" x14ac:dyDescent="0.5">
      <c r="A703" t="s">
        <v>729</v>
      </c>
      <c r="B703" t="s">
        <v>15</v>
      </c>
      <c r="C703" t="s">
        <v>30</v>
      </c>
      <c r="D703" s="1">
        <v>45932</v>
      </c>
      <c r="E703" s="1">
        <v>45936</v>
      </c>
      <c r="F703" s="1">
        <v>45939</v>
      </c>
      <c r="G703" s="1">
        <v>45944</v>
      </c>
      <c r="H703" t="s">
        <v>17</v>
      </c>
      <c r="J703" s="1">
        <v>45967</v>
      </c>
      <c r="K703" s="7">
        <v>4</v>
      </c>
      <c r="L703" s="7">
        <v>3</v>
      </c>
      <c r="M703" s="7">
        <v>5</v>
      </c>
      <c r="N703" s="7">
        <v>9</v>
      </c>
    </row>
    <row r="704" spans="1:14" ht="36" x14ac:dyDescent="0.5">
      <c r="A704" t="s">
        <v>730</v>
      </c>
      <c r="B704" t="s">
        <v>15</v>
      </c>
      <c r="C704" t="s">
        <v>30</v>
      </c>
      <c r="D704" s="1">
        <v>45949</v>
      </c>
      <c r="E704" s="1">
        <v>45954</v>
      </c>
      <c r="F704" s="1">
        <v>45956</v>
      </c>
      <c r="G704" s="1">
        <v>45959</v>
      </c>
      <c r="H704" t="s">
        <v>23</v>
      </c>
      <c r="I704" s="2" t="s">
        <v>26</v>
      </c>
      <c r="K704" s="7">
        <v>5</v>
      </c>
      <c r="L704" s="7">
        <v>2</v>
      </c>
      <c r="M704" s="7">
        <v>3</v>
      </c>
    </row>
    <row r="705" spans="1:14" x14ac:dyDescent="0.5">
      <c r="A705" t="s">
        <v>731</v>
      </c>
      <c r="B705" t="s">
        <v>19</v>
      </c>
      <c r="C705" t="s">
        <v>16</v>
      </c>
      <c r="D705" s="1">
        <v>45942</v>
      </c>
      <c r="E705" s="1">
        <v>45943</v>
      </c>
      <c r="F705" s="1">
        <v>45948</v>
      </c>
      <c r="G705" s="1">
        <v>45955</v>
      </c>
      <c r="H705" t="s">
        <v>17</v>
      </c>
      <c r="J705" s="1">
        <v>45983</v>
      </c>
      <c r="K705" s="7">
        <v>1</v>
      </c>
      <c r="L705" s="7">
        <v>5</v>
      </c>
      <c r="M705" s="7">
        <v>7</v>
      </c>
      <c r="N705" s="7">
        <v>2</v>
      </c>
    </row>
    <row r="706" spans="1:14" x14ac:dyDescent="0.5">
      <c r="A706" t="s">
        <v>732</v>
      </c>
      <c r="B706" t="s">
        <v>32</v>
      </c>
      <c r="C706" t="s">
        <v>16</v>
      </c>
      <c r="D706" s="1">
        <v>45954</v>
      </c>
      <c r="E706" s="1">
        <v>45957</v>
      </c>
      <c r="F706" s="1">
        <v>45959</v>
      </c>
      <c r="G706" s="1">
        <v>45965</v>
      </c>
      <c r="H706" t="s">
        <v>17</v>
      </c>
      <c r="J706" s="1">
        <v>45989</v>
      </c>
      <c r="K706" s="7">
        <v>3</v>
      </c>
      <c r="L706" s="7">
        <v>2</v>
      </c>
      <c r="M706" s="7">
        <v>6</v>
      </c>
      <c r="N706" s="7">
        <v>9</v>
      </c>
    </row>
    <row r="707" spans="1:14" x14ac:dyDescent="0.5">
      <c r="A707" t="s">
        <v>733</v>
      </c>
      <c r="B707" t="s">
        <v>32</v>
      </c>
      <c r="C707" t="s">
        <v>16</v>
      </c>
      <c r="D707" s="1">
        <v>45935</v>
      </c>
      <c r="E707" s="1">
        <v>45938</v>
      </c>
      <c r="F707" s="1">
        <v>45943</v>
      </c>
      <c r="G707" s="1">
        <v>45946</v>
      </c>
      <c r="H707" t="s">
        <v>17</v>
      </c>
      <c r="J707" s="1">
        <v>45960</v>
      </c>
      <c r="K707" s="7">
        <v>3</v>
      </c>
      <c r="L707" s="7">
        <v>5</v>
      </c>
      <c r="M707" s="7">
        <v>3</v>
      </c>
      <c r="N707" s="7">
        <v>2</v>
      </c>
    </row>
    <row r="708" spans="1:14" x14ac:dyDescent="0.5">
      <c r="A708" t="s">
        <v>734</v>
      </c>
      <c r="B708" t="s">
        <v>21</v>
      </c>
      <c r="C708" t="s">
        <v>16</v>
      </c>
      <c r="D708" s="1">
        <v>45933</v>
      </c>
      <c r="E708" s="1">
        <v>45937</v>
      </c>
      <c r="F708" s="1">
        <v>45941</v>
      </c>
      <c r="G708" s="1">
        <v>45944</v>
      </c>
      <c r="H708" t="s">
        <v>17</v>
      </c>
      <c r="J708" s="1">
        <v>45964</v>
      </c>
      <c r="K708" s="7">
        <v>4</v>
      </c>
      <c r="L708" s="7">
        <v>4</v>
      </c>
      <c r="M708" s="7">
        <v>3</v>
      </c>
      <c r="N708" s="7">
        <v>6</v>
      </c>
    </row>
    <row r="709" spans="1:14" ht="36" x14ac:dyDescent="0.5">
      <c r="A709" t="s">
        <v>735</v>
      </c>
      <c r="B709" t="s">
        <v>19</v>
      </c>
      <c r="C709" t="s">
        <v>30</v>
      </c>
      <c r="D709" s="1">
        <v>45960</v>
      </c>
      <c r="E709" s="1">
        <v>45962</v>
      </c>
      <c r="F709" s="1">
        <v>45967</v>
      </c>
      <c r="G709" s="1">
        <v>45969</v>
      </c>
      <c r="H709" t="s">
        <v>23</v>
      </c>
      <c r="I709" s="2" t="s">
        <v>33</v>
      </c>
      <c r="K709" s="7">
        <v>2</v>
      </c>
      <c r="L709" s="7">
        <v>5</v>
      </c>
      <c r="M709" s="7">
        <v>2</v>
      </c>
    </row>
    <row r="710" spans="1:14" x14ac:dyDescent="0.5">
      <c r="A710" t="s">
        <v>736</v>
      </c>
      <c r="B710" t="s">
        <v>15</v>
      </c>
      <c r="C710" t="s">
        <v>30</v>
      </c>
      <c r="D710" s="1">
        <v>45940</v>
      </c>
      <c r="E710" s="1">
        <v>45945</v>
      </c>
      <c r="F710" s="1">
        <v>45948</v>
      </c>
      <c r="G710" s="1">
        <v>45953</v>
      </c>
      <c r="H710" t="s">
        <v>17</v>
      </c>
      <c r="J710" s="1">
        <v>45968</v>
      </c>
      <c r="K710" s="7">
        <v>5</v>
      </c>
      <c r="L710" s="7">
        <v>3</v>
      </c>
      <c r="M710" s="7">
        <v>5</v>
      </c>
      <c r="N710" s="7">
        <v>2</v>
      </c>
    </row>
    <row r="711" spans="1:14" x14ac:dyDescent="0.5">
      <c r="A711" t="s">
        <v>737</v>
      </c>
      <c r="B711" t="s">
        <v>19</v>
      </c>
      <c r="C711" t="s">
        <v>16</v>
      </c>
      <c r="D711" s="1">
        <v>45941</v>
      </c>
      <c r="E711" s="1">
        <v>45944</v>
      </c>
      <c r="F711" s="1">
        <v>45948</v>
      </c>
      <c r="G711" s="1">
        <v>45950</v>
      </c>
      <c r="H711" t="s">
        <v>17</v>
      </c>
      <c r="J711" s="1">
        <v>45962</v>
      </c>
      <c r="K711" s="7">
        <v>3</v>
      </c>
      <c r="L711" s="7">
        <v>4</v>
      </c>
      <c r="M711" s="7">
        <v>2</v>
      </c>
      <c r="N711" s="7">
        <v>6</v>
      </c>
    </row>
    <row r="712" spans="1:14" x14ac:dyDescent="0.5">
      <c r="A712" t="s">
        <v>738</v>
      </c>
      <c r="B712" t="s">
        <v>21</v>
      </c>
      <c r="C712" t="s">
        <v>16</v>
      </c>
      <c r="D712" s="1">
        <v>45954</v>
      </c>
      <c r="E712" s="1">
        <v>45958</v>
      </c>
      <c r="F712" s="1">
        <v>45960</v>
      </c>
      <c r="G712" s="1">
        <v>45963</v>
      </c>
      <c r="H712" t="s">
        <v>17</v>
      </c>
      <c r="J712" s="1">
        <v>45988</v>
      </c>
      <c r="K712" s="7">
        <v>4</v>
      </c>
      <c r="L712" s="7">
        <v>2</v>
      </c>
      <c r="M712" s="7">
        <v>3</v>
      </c>
      <c r="N712" s="7">
        <v>8</v>
      </c>
    </row>
    <row r="713" spans="1:14" x14ac:dyDescent="0.5">
      <c r="A713" t="s">
        <v>739</v>
      </c>
      <c r="B713" t="s">
        <v>21</v>
      </c>
      <c r="C713" t="s">
        <v>16</v>
      </c>
      <c r="D713" s="1">
        <v>45944</v>
      </c>
      <c r="E713" s="1">
        <v>45946</v>
      </c>
      <c r="F713" s="1">
        <v>45947</v>
      </c>
      <c r="G713" s="1">
        <v>45953</v>
      </c>
      <c r="H713" t="s">
        <v>17</v>
      </c>
      <c r="J713" s="1">
        <v>45973</v>
      </c>
      <c r="K713" s="7">
        <v>2</v>
      </c>
      <c r="L713" s="7">
        <v>1</v>
      </c>
      <c r="M713" s="7">
        <v>6</v>
      </c>
      <c r="N713" s="7">
        <v>2</v>
      </c>
    </row>
    <row r="714" spans="1:14" x14ac:dyDescent="0.5">
      <c r="A714" t="s">
        <v>740</v>
      </c>
      <c r="B714" t="s">
        <v>19</v>
      </c>
      <c r="C714" t="s">
        <v>30</v>
      </c>
      <c r="D714" s="1">
        <v>45936</v>
      </c>
      <c r="E714" s="1">
        <v>45937</v>
      </c>
      <c r="F714" s="1">
        <v>45942</v>
      </c>
      <c r="G714" s="1">
        <v>45946</v>
      </c>
      <c r="H714" t="s">
        <v>17</v>
      </c>
      <c r="J714" s="1">
        <v>45976</v>
      </c>
      <c r="K714" s="7">
        <v>1</v>
      </c>
      <c r="L714" s="7">
        <v>5</v>
      </c>
      <c r="M714" s="7">
        <v>4</v>
      </c>
      <c r="N714" s="7">
        <v>5</v>
      </c>
    </row>
    <row r="715" spans="1:14" x14ac:dyDescent="0.5">
      <c r="A715" t="s">
        <v>741</v>
      </c>
      <c r="B715" t="s">
        <v>19</v>
      </c>
      <c r="C715" t="s">
        <v>16</v>
      </c>
      <c r="D715" s="1">
        <v>45937</v>
      </c>
      <c r="E715" s="1">
        <v>45939</v>
      </c>
      <c r="F715" s="1">
        <v>45942</v>
      </c>
      <c r="G715" s="1">
        <v>45949</v>
      </c>
      <c r="H715" t="s">
        <v>17</v>
      </c>
      <c r="J715" s="1">
        <v>45964</v>
      </c>
      <c r="K715" s="7">
        <v>2</v>
      </c>
      <c r="L715" s="7">
        <v>3</v>
      </c>
      <c r="M715" s="7">
        <v>7</v>
      </c>
      <c r="N715" s="7">
        <v>8</v>
      </c>
    </row>
    <row r="716" spans="1:14" x14ac:dyDescent="0.5">
      <c r="A716" t="s">
        <v>742</v>
      </c>
      <c r="B716" t="s">
        <v>19</v>
      </c>
      <c r="C716" t="s">
        <v>30</v>
      </c>
      <c r="D716" s="1">
        <v>45935</v>
      </c>
      <c r="E716" s="1">
        <v>45936</v>
      </c>
      <c r="F716" s="1">
        <v>45937</v>
      </c>
      <c r="G716" s="1">
        <v>45944</v>
      </c>
      <c r="H716" t="s">
        <v>17</v>
      </c>
      <c r="J716" s="1">
        <v>45964</v>
      </c>
      <c r="K716" s="7">
        <v>1</v>
      </c>
      <c r="L716" s="7">
        <v>1</v>
      </c>
      <c r="M716" s="7">
        <v>7</v>
      </c>
      <c r="N716" s="7">
        <v>7</v>
      </c>
    </row>
    <row r="717" spans="1:14" x14ac:dyDescent="0.5">
      <c r="A717" t="s">
        <v>743</v>
      </c>
      <c r="B717" t="s">
        <v>32</v>
      </c>
      <c r="C717" t="s">
        <v>30</v>
      </c>
      <c r="D717" s="1">
        <v>45956</v>
      </c>
      <c r="E717" s="1">
        <v>45960</v>
      </c>
      <c r="F717" s="1">
        <v>45961</v>
      </c>
      <c r="G717" s="1">
        <v>45963</v>
      </c>
      <c r="H717" t="s">
        <v>17</v>
      </c>
      <c r="J717" s="1">
        <v>45993</v>
      </c>
      <c r="K717" s="7">
        <v>4</v>
      </c>
      <c r="L717" s="7">
        <v>1</v>
      </c>
      <c r="M717" s="7">
        <v>2</v>
      </c>
      <c r="N717" s="7">
        <v>7</v>
      </c>
    </row>
    <row r="718" spans="1:14" x14ac:dyDescent="0.5">
      <c r="A718" t="s">
        <v>744</v>
      </c>
      <c r="B718" t="s">
        <v>15</v>
      </c>
      <c r="C718" t="s">
        <v>16</v>
      </c>
      <c r="D718" s="1">
        <v>45948</v>
      </c>
      <c r="E718" s="1">
        <v>45950</v>
      </c>
      <c r="F718" s="1">
        <v>45954</v>
      </c>
      <c r="G718" s="1">
        <v>45958</v>
      </c>
      <c r="H718" t="s">
        <v>17</v>
      </c>
      <c r="J718" s="1">
        <v>45969</v>
      </c>
      <c r="K718" s="7">
        <v>2</v>
      </c>
      <c r="L718" s="7">
        <v>4</v>
      </c>
      <c r="M718" s="7">
        <v>4</v>
      </c>
      <c r="N718" s="7">
        <v>9</v>
      </c>
    </row>
    <row r="719" spans="1:14" x14ac:dyDescent="0.5">
      <c r="A719" t="s">
        <v>745</v>
      </c>
      <c r="B719" t="s">
        <v>19</v>
      </c>
      <c r="C719" t="s">
        <v>30</v>
      </c>
      <c r="D719" s="1">
        <v>45959</v>
      </c>
      <c r="E719" s="1">
        <v>45963</v>
      </c>
      <c r="F719" s="1">
        <v>45965</v>
      </c>
      <c r="G719" s="1">
        <v>45967</v>
      </c>
      <c r="H719" t="s">
        <v>17</v>
      </c>
      <c r="J719" s="1">
        <v>45977</v>
      </c>
      <c r="K719" s="7">
        <v>4</v>
      </c>
      <c r="L719" s="7">
        <v>2</v>
      </c>
      <c r="M719" s="7">
        <v>2</v>
      </c>
      <c r="N719" s="7">
        <v>7</v>
      </c>
    </row>
    <row r="720" spans="1:14" x14ac:dyDescent="0.5">
      <c r="A720" t="s">
        <v>746</v>
      </c>
      <c r="B720" t="s">
        <v>19</v>
      </c>
      <c r="C720" t="s">
        <v>30</v>
      </c>
      <c r="D720" s="1">
        <v>45942</v>
      </c>
      <c r="E720" s="1">
        <v>45943</v>
      </c>
      <c r="F720" s="1">
        <v>45944</v>
      </c>
      <c r="G720" s="1">
        <v>45951</v>
      </c>
      <c r="H720" t="s">
        <v>17</v>
      </c>
      <c r="J720" s="1">
        <v>45975</v>
      </c>
      <c r="K720" s="7">
        <v>1</v>
      </c>
      <c r="L720" s="7">
        <v>1</v>
      </c>
      <c r="M720" s="7">
        <v>7</v>
      </c>
      <c r="N720" s="7">
        <v>2</v>
      </c>
    </row>
    <row r="721" spans="1:14" x14ac:dyDescent="0.5">
      <c r="A721" t="s">
        <v>747</v>
      </c>
      <c r="B721" t="s">
        <v>19</v>
      </c>
      <c r="C721" t="s">
        <v>16</v>
      </c>
      <c r="D721" s="1">
        <v>45947</v>
      </c>
      <c r="E721" s="1">
        <v>45950</v>
      </c>
      <c r="F721" s="1">
        <v>45953</v>
      </c>
      <c r="G721" s="1">
        <v>45958</v>
      </c>
      <c r="H721" t="s">
        <v>17</v>
      </c>
      <c r="J721" s="1">
        <v>45976</v>
      </c>
      <c r="K721" s="7">
        <v>3</v>
      </c>
      <c r="L721" s="7">
        <v>3</v>
      </c>
      <c r="M721" s="7">
        <v>5</v>
      </c>
      <c r="N721" s="7">
        <v>7</v>
      </c>
    </row>
    <row r="722" spans="1:14" x14ac:dyDescent="0.5">
      <c r="A722" t="s">
        <v>748</v>
      </c>
      <c r="B722" t="s">
        <v>21</v>
      </c>
      <c r="C722" t="s">
        <v>16</v>
      </c>
      <c r="D722" s="1">
        <v>45947</v>
      </c>
      <c r="E722" s="1">
        <v>45950</v>
      </c>
      <c r="F722" s="1">
        <v>45955</v>
      </c>
      <c r="G722" s="1">
        <v>45962</v>
      </c>
      <c r="H722" t="s">
        <v>17</v>
      </c>
      <c r="J722" s="1">
        <v>45978</v>
      </c>
      <c r="K722" s="7">
        <v>3</v>
      </c>
      <c r="L722" s="7">
        <v>5</v>
      </c>
      <c r="M722" s="7">
        <v>7</v>
      </c>
      <c r="N722" s="7">
        <v>4</v>
      </c>
    </row>
    <row r="723" spans="1:14" x14ac:dyDescent="0.5">
      <c r="A723" t="s">
        <v>749</v>
      </c>
      <c r="B723" t="s">
        <v>21</v>
      </c>
      <c r="C723" t="s">
        <v>16</v>
      </c>
      <c r="D723" s="1">
        <v>45960</v>
      </c>
      <c r="E723" s="1">
        <v>45961</v>
      </c>
      <c r="F723" s="1">
        <v>45966</v>
      </c>
      <c r="G723" s="1">
        <v>45973</v>
      </c>
      <c r="H723" t="s">
        <v>17</v>
      </c>
      <c r="J723" s="1">
        <v>45988</v>
      </c>
      <c r="K723" s="7">
        <v>1</v>
      </c>
      <c r="L723" s="7">
        <v>5</v>
      </c>
      <c r="M723" s="7">
        <v>7</v>
      </c>
      <c r="N723" s="7">
        <v>6</v>
      </c>
    </row>
    <row r="724" spans="1:14" x14ac:dyDescent="0.5">
      <c r="A724" t="s">
        <v>750</v>
      </c>
      <c r="B724" t="s">
        <v>32</v>
      </c>
      <c r="C724" t="s">
        <v>30</v>
      </c>
      <c r="D724" s="1">
        <v>45939</v>
      </c>
      <c r="E724" s="1">
        <v>45944</v>
      </c>
      <c r="F724" s="1">
        <v>45949</v>
      </c>
      <c r="G724" s="1">
        <v>45953</v>
      </c>
      <c r="H724" t="s">
        <v>17</v>
      </c>
      <c r="J724" s="1">
        <v>45981</v>
      </c>
      <c r="K724" s="7">
        <v>5</v>
      </c>
      <c r="L724" s="7">
        <v>5</v>
      </c>
      <c r="M724" s="7">
        <v>4</v>
      </c>
      <c r="N724" s="7">
        <v>3</v>
      </c>
    </row>
    <row r="725" spans="1:14" x14ac:dyDescent="0.5">
      <c r="A725" t="s">
        <v>751</v>
      </c>
      <c r="B725" t="s">
        <v>15</v>
      </c>
      <c r="C725" t="s">
        <v>30</v>
      </c>
      <c r="D725" s="1">
        <v>45957</v>
      </c>
      <c r="E725" s="1">
        <v>45962</v>
      </c>
      <c r="F725" s="1">
        <v>45966</v>
      </c>
      <c r="G725" s="1">
        <v>45968</v>
      </c>
      <c r="H725" t="s">
        <v>17</v>
      </c>
      <c r="J725" s="1">
        <v>45983</v>
      </c>
      <c r="K725" s="7">
        <v>5</v>
      </c>
      <c r="L725" s="7">
        <v>4</v>
      </c>
      <c r="M725" s="7">
        <v>2</v>
      </c>
      <c r="N725" s="7">
        <v>4</v>
      </c>
    </row>
    <row r="726" spans="1:14" x14ac:dyDescent="0.5">
      <c r="A726" t="s">
        <v>752</v>
      </c>
      <c r="B726" t="s">
        <v>32</v>
      </c>
      <c r="C726" t="s">
        <v>30</v>
      </c>
      <c r="D726" s="1">
        <v>45936</v>
      </c>
      <c r="E726" s="1">
        <v>45939</v>
      </c>
      <c r="F726" s="1">
        <v>45942</v>
      </c>
      <c r="G726" s="1">
        <v>45945</v>
      </c>
      <c r="H726" t="s">
        <v>17</v>
      </c>
      <c r="J726" s="1">
        <v>45970</v>
      </c>
      <c r="K726" s="7">
        <v>3</v>
      </c>
      <c r="L726" s="7">
        <v>3</v>
      </c>
      <c r="M726" s="7">
        <v>3</v>
      </c>
      <c r="N726" s="7">
        <v>10</v>
      </c>
    </row>
    <row r="727" spans="1:14" x14ac:dyDescent="0.5">
      <c r="A727" t="s">
        <v>753</v>
      </c>
      <c r="B727" t="s">
        <v>15</v>
      </c>
      <c r="C727" t="s">
        <v>30</v>
      </c>
      <c r="D727" s="1">
        <v>45939</v>
      </c>
      <c r="E727" s="1">
        <v>45942</v>
      </c>
      <c r="F727" s="1">
        <v>45943</v>
      </c>
      <c r="G727" s="1">
        <v>45949</v>
      </c>
      <c r="H727" t="s">
        <v>17</v>
      </c>
      <c r="J727" s="1">
        <v>45961</v>
      </c>
      <c r="K727" s="7">
        <v>3</v>
      </c>
      <c r="L727" s="7">
        <v>1</v>
      </c>
      <c r="M727" s="7">
        <v>6</v>
      </c>
      <c r="N727" s="7">
        <v>8</v>
      </c>
    </row>
    <row r="728" spans="1:14" x14ac:dyDescent="0.5">
      <c r="A728" t="s">
        <v>754</v>
      </c>
      <c r="B728" t="s">
        <v>21</v>
      </c>
      <c r="C728" t="s">
        <v>16</v>
      </c>
      <c r="D728" s="1">
        <v>45960</v>
      </c>
      <c r="E728" s="1">
        <v>45962</v>
      </c>
      <c r="F728" s="1">
        <v>45965</v>
      </c>
      <c r="G728" s="1">
        <v>45968</v>
      </c>
      <c r="H728" t="s">
        <v>17</v>
      </c>
      <c r="J728" s="1">
        <v>45982</v>
      </c>
      <c r="K728" s="7">
        <v>2</v>
      </c>
      <c r="L728" s="7">
        <v>3</v>
      </c>
      <c r="M728" s="7">
        <v>3</v>
      </c>
      <c r="N728" s="7">
        <v>10</v>
      </c>
    </row>
    <row r="729" spans="1:14" ht="36" x14ac:dyDescent="0.5">
      <c r="A729" t="s">
        <v>755</v>
      </c>
      <c r="B729" t="s">
        <v>21</v>
      </c>
      <c r="C729" t="s">
        <v>22</v>
      </c>
      <c r="D729" s="1">
        <v>45957</v>
      </c>
      <c r="H729" t="s">
        <v>23</v>
      </c>
      <c r="I729" s="2" t="s">
        <v>33</v>
      </c>
    </row>
    <row r="730" spans="1:14" x14ac:dyDescent="0.5">
      <c r="A730" t="s">
        <v>756</v>
      </c>
      <c r="B730" t="s">
        <v>21</v>
      </c>
      <c r="C730" t="s">
        <v>16</v>
      </c>
      <c r="D730" s="1">
        <v>45961</v>
      </c>
      <c r="E730" s="1">
        <v>45963</v>
      </c>
      <c r="F730" s="1">
        <v>45967</v>
      </c>
      <c r="G730" s="1">
        <v>45972</v>
      </c>
      <c r="H730" t="s">
        <v>17</v>
      </c>
      <c r="J730" s="1">
        <v>46001</v>
      </c>
      <c r="K730" s="7">
        <v>2</v>
      </c>
      <c r="L730" s="7">
        <v>4</v>
      </c>
      <c r="M730" s="7">
        <v>5</v>
      </c>
      <c r="N730" s="7">
        <v>3</v>
      </c>
    </row>
    <row r="731" spans="1:14" x14ac:dyDescent="0.5">
      <c r="A731" t="s">
        <v>757</v>
      </c>
      <c r="B731" t="s">
        <v>32</v>
      </c>
      <c r="C731" t="s">
        <v>16</v>
      </c>
      <c r="D731" s="1">
        <v>45946</v>
      </c>
      <c r="E731" s="1">
        <v>45949</v>
      </c>
      <c r="F731" s="1">
        <v>45953</v>
      </c>
      <c r="G731" s="1">
        <v>45958</v>
      </c>
      <c r="H731" t="s">
        <v>17</v>
      </c>
      <c r="J731" s="1">
        <v>45981</v>
      </c>
      <c r="K731" s="7">
        <v>3</v>
      </c>
      <c r="L731" s="7">
        <v>4</v>
      </c>
      <c r="M731" s="7">
        <v>5</v>
      </c>
      <c r="N731" s="7">
        <v>9</v>
      </c>
    </row>
    <row r="732" spans="1:14" x14ac:dyDescent="0.5">
      <c r="A732" t="s">
        <v>758</v>
      </c>
      <c r="B732" t="s">
        <v>19</v>
      </c>
      <c r="C732" t="s">
        <v>16</v>
      </c>
      <c r="D732" s="1">
        <v>45961</v>
      </c>
      <c r="E732" s="1">
        <v>45966</v>
      </c>
      <c r="F732" s="1">
        <v>45968</v>
      </c>
      <c r="G732" s="1">
        <v>45970</v>
      </c>
      <c r="H732" t="s">
        <v>17</v>
      </c>
      <c r="J732" s="1">
        <v>46000</v>
      </c>
      <c r="K732" s="7">
        <v>5</v>
      </c>
      <c r="L732" s="7">
        <v>2</v>
      </c>
      <c r="M732" s="7">
        <v>2</v>
      </c>
      <c r="N732" s="7">
        <v>1</v>
      </c>
    </row>
    <row r="733" spans="1:14" x14ac:dyDescent="0.5">
      <c r="A733" t="s">
        <v>759</v>
      </c>
      <c r="B733" t="s">
        <v>19</v>
      </c>
      <c r="C733" t="s">
        <v>16</v>
      </c>
      <c r="D733" s="1">
        <v>45956</v>
      </c>
      <c r="E733" s="1">
        <v>45958</v>
      </c>
      <c r="F733" s="1">
        <v>45961</v>
      </c>
      <c r="G733" s="1">
        <v>45964</v>
      </c>
      <c r="H733" t="s">
        <v>17</v>
      </c>
      <c r="J733" s="1">
        <v>45987</v>
      </c>
      <c r="K733" s="7">
        <v>2</v>
      </c>
      <c r="L733" s="7">
        <v>3</v>
      </c>
      <c r="M733" s="7">
        <v>3</v>
      </c>
      <c r="N733" s="7">
        <v>8</v>
      </c>
    </row>
    <row r="734" spans="1:14" x14ac:dyDescent="0.5">
      <c r="A734" t="s">
        <v>760</v>
      </c>
      <c r="B734" t="s">
        <v>21</v>
      </c>
      <c r="C734" t="s">
        <v>16</v>
      </c>
      <c r="D734" s="1">
        <v>45940</v>
      </c>
      <c r="E734" s="1">
        <v>45941</v>
      </c>
      <c r="F734" s="1">
        <v>45946</v>
      </c>
      <c r="G734" s="1">
        <v>45953</v>
      </c>
      <c r="H734" t="s">
        <v>17</v>
      </c>
      <c r="J734" s="1">
        <v>45975</v>
      </c>
      <c r="K734" s="7">
        <v>1</v>
      </c>
      <c r="L734" s="7">
        <v>5</v>
      </c>
      <c r="M734" s="7">
        <v>7</v>
      </c>
      <c r="N734" s="7">
        <v>6</v>
      </c>
    </row>
    <row r="735" spans="1:14" x14ac:dyDescent="0.5">
      <c r="A735" t="s">
        <v>761</v>
      </c>
      <c r="B735" t="s">
        <v>19</v>
      </c>
      <c r="C735" t="s">
        <v>16</v>
      </c>
      <c r="D735" s="1">
        <v>45954</v>
      </c>
      <c r="E735" s="1">
        <v>45956</v>
      </c>
      <c r="F735" s="1">
        <v>45960</v>
      </c>
      <c r="G735" s="1">
        <v>45964</v>
      </c>
      <c r="H735" t="s">
        <v>17</v>
      </c>
      <c r="J735" s="1">
        <v>45987</v>
      </c>
      <c r="K735" s="7">
        <v>2</v>
      </c>
      <c r="L735" s="7">
        <v>4</v>
      </c>
      <c r="M735" s="7">
        <v>4</v>
      </c>
      <c r="N735" s="7">
        <v>4</v>
      </c>
    </row>
    <row r="736" spans="1:14" x14ac:dyDescent="0.5">
      <c r="A736" t="s">
        <v>762</v>
      </c>
      <c r="B736" t="s">
        <v>19</v>
      </c>
      <c r="C736" t="s">
        <v>16</v>
      </c>
      <c r="D736" s="1">
        <v>45958</v>
      </c>
      <c r="E736" s="1">
        <v>45960</v>
      </c>
      <c r="F736" s="1">
        <v>45964</v>
      </c>
      <c r="G736" s="1">
        <v>45966</v>
      </c>
      <c r="H736" t="s">
        <v>17</v>
      </c>
      <c r="J736" s="1">
        <v>45991</v>
      </c>
      <c r="K736" s="7">
        <v>2</v>
      </c>
      <c r="L736" s="7">
        <v>4</v>
      </c>
      <c r="M736" s="7">
        <v>2</v>
      </c>
      <c r="N736" s="7">
        <v>4</v>
      </c>
    </row>
    <row r="737" spans="1:14" x14ac:dyDescent="0.5">
      <c r="A737" t="s">
        <v>763</v>
      </c>
      <c r="B737" t="s">
        <v>32</v>
      </c>
      <c r="C737" t="s">
        <v>30</v>
      </c>
      <c r="D737" s="1">
        <v>45941</v>
      </c>
      <c r="E737" s="1">
        <v>45943</v>
      </c>
      <c r="F737" s="1">
        <v>45945</v>
      </c>
      <c r="G737" s="1">
        <v>45947</v>
      </c>
      <c r="H737" t="s">
        <v>17</v>
      </c>
      <c r="J737" s="1">
        <v>45969</v>
      </c>
      <c r="K737" s="7">
        <v>2</v>
      </c>
      <c r="L737" s="7">
        <v>2</v>
      </c>
      <c r="M737" s="7">
        <v>2</v>
      </c>
      <c r="N737" s="7">
        <v>9</v>
      </c>
    </row>
    <row r="738" spans="1:14" x14ac:dyDescent="0.5">
      <c r="A738" t="s">
        <v>764</v>
      </c>
      <c r="B738" t="s">
        <v>15</v>
      </c>
      <c r="C738" t="s">
        <v>16</v>
      </c>
      <c r="D738" s="1">
        <v>45956</v>
      </c>
      <c r="E738" s="1">
        <v>45960</v>
      </c>
      <c r="F738" s="1">
        <v>45965</v>
      </c>
      <c r="G738" s="1">
        <v>45968</v>
      </c>
      <c r="H738" t="s">
        <v>17</v>
      </c>
      <c r="J738" s="1">
        <v>45978</v>
      </c>
      <c r="K738" s="7">
        <v>4</v>
      </c>
      <c r="L738" s="7">
        <v>5</v>
      </c>
      <c r="M738" s="7">
        <v>3</v>
      </c>
      <c r="N738" s="7">
        <v>0</v>
      </c>
    </row>
    <row r="739" spans="1:14" ht="36" x14ac:dyDescent="0.5">
      <c r="A739" t="s">
        <v>765</v>
      </c>
      <c r="B739" t="s">
        <v>21</v>
      </c>
      <c r="C739" t="s">
        <v>22</v>
      </c>
      <c r="D739" s="1">
        <v>45934</v>
      </c>
      <c r="H739" t="s">
        <v>23</v>
      </c>
      <c r="I739" s="2" t="s">
        <v>26</v>
      </c>
    </row>
    <row r="740" spans="1:14" x14ac:dyDescent="0.5">
      <c r="A740" t="s">
        <v>766</v>
      </c>
      <c r="B740" t="s">
        <v>21</v>
      </c>
      <c r="C740" t="s">
        <v>30</v>
      </c>
      <c r="D740" s="1">
        <v>45945</v>
      </c>
      <c r="E740" s="1">
        <v>45946</v>
      </c>
      <c r="F740" s="1">
        <v>45950</v>
      </c>
      <c r="G740" s="1">
        <v>45956</v>
      </c>
      <c r="H740" t="s">
        <v>17</v>
      </c>
      <c r="J740" s="1">
        <v>45967</v>
      </c>
      <c r="K740" s="7">
        <v>1</v>
      </c>
      <c r="L740" s="7">
        <v>4</v>
      </c>
      <c r="M740" s="7">
        <v>6</v>
      </c>
      <c r="N740" s="7">
        <v>7</v>
      </c>
    </row>
    <row r="741" spans="1:14" x14ac:dyDescent="0.5">
      <c r="A741" t="s">
        <v>767</v>
      </c>
      <c r="B741" t="s">
        <v>32</v>
      </c>
      <c r="C741" t="s">
        <v>30</v>
      </c>
      <c r="D741" s="1">
        <v>45961</v>
      </c>
      <c r="E741" s="1">
        <v>45964</v>
      </c>
      <c r="F741" s="1">
        <v>45965</v>
      </c>
      <c r="G741" s="1">
        <v>45970</v>
      </c>
      <c r="H741" t="s">
        <v>17</v>
      </c>
      <c r="J741" s="1">
        <v>45997</v>
      </c>
      <c r="K741" s="7">
        <v>3</v>
      </c>
      <c r="L741" s="7">
        <v>1</v>
      </c>
      <c r="M741" s="7">
        <v>5</v>
      </c>
      <c r="N741" s="7">
        <v>7</v>
      </c>
    </row>
    <row r="742" spans="1:14" x14ac:dyDescent="0.5">
      <c r="A742" t="s">
        <v>768</v>
      </c>
      <c r="B742" t="s">
        <v>32</v>
      </c>
      <c r="C742" t="s">
        <v>16</v>
      </c>
      <c r="D742" s="1">
        <v>45933</v>
      </c>
      <c r="E742" s="1">
        <v>45938</v>
      </c>
      <c r="F742" s="1">
        <v>45943</v>
      </c>
      <c r="G742" s="1">
        <v>45950</v>
      </c>
      <c r="H742" t="s">
        <v>17</v>
      </c>
      <c r="J742" s="1">
        <v>45966</v>
      </c>
      <c r="K742" s="7">
        <v>5</v>
      </c>
      <c r="L742" s="7">
        <v>5</v>
      </c>
      <c r="M742" s="7">
        <v>7</v>
      </c>
      <c r="N742" s="7">
        <v>1</v>
      </c>
    </row>
    <row r="743" spans="1:14" x14ac:dyDescent="0.5">
      <c r="A743" t="s">
        <v>769</v>
      </c>
      <c r="B743" t="s">
        <v>19</v>
      </c>
      <c r="C743" t="s">
        <v>16</v>
      </c>
      <c r="D743" s="1">
        <v>45935</v>
      </c>
      <c r="E743" s="1">
        <v>45940</v>
      </c>
      <c r="F743" s="1">
        <v>45943</v>
      </c>
      <c r="G743" s="1">
        <v>45947</v>
      </c>
      <c r="H743" t="s">
        <v>17</v>
      </c>
      <c r="J743" s="1">
        <v>45968</v>
      </c>
      <c r="K743" s="7">
        <v>5</v>
      </c>
      <c r="L743" s="7">
        <v>3</v>
      </c>
      <c r="M743" s="7">
        <v>4</v>
      </c>
      <c r="N743" s="7">
        <v>2</v>
      </c>
    </row>
    <row r="744" spans="1:14" x14ac:dyDescent="0.5">
      <c r="A744" t="s">
        <v>770</v>
      </c>
      <c r="B744" t="s">
        <v>21</v>
      </c>
      <c r="C744" t="s">
        <v>16</v>
      </c>
      <c r="D744" s="1">
        <v>45955</v>
      </c>
      <c r="E744" s="1">
        <v>45958</v>
      </c>
      <c r="F744" s="1">
        <v>45960</v>
      </c>
      <c r="G744" s="1">
        <v>45965</v>
      </c>
      <c r="H744" t="s">
        <v>17</v>
      </c>
      <c r="J744" s="1">
        <v>45975</v>
      </c>
      <c r="K744" s="7">
        <v>3</v>
      </c>
      <c r="L744" s="7">
        <v>2</v>
      </c>
      <c r="M744" s="7">
        <v>5</v>
      </c>
      <c r="N744" s="7">
        <v>2</v>
      </c>
    </row>
    <row r="745" spans="1:14" x14ac:dyDescent="0.5">
      <c r="A745" t="s">
        <v>771</v>
      </c>
      <c r="B745" t="s">
        <v>15</v>
      </c>
      <c r="C745" t="s">
        <v>16</v>
      </c>
      <c r="D745" s="1">
        <v>45961</v>
      </c>
      <c r="E745" s="1">
        <v>45965</v>
      </c>
      <c r="F745" s="1">
        <v>45966</v>
      </c>
      <c r="G745" s="1">
        <v>45973</v>
      </c>
      <c r="H745" t="s">
        <v>17</v>
      </c>
      <c r="J745" s="1">
        <v>45993</v>
      </c>
      <c r="K745" s="7">
        <v>4</v>
      </c>
      <c r="L745" s="7">
        <v>1</v>
      </c>
      <c r="M745" s="7">
        <v>7</v>
      </c>
      <c r="N745" s="7">
        <v>1</v>
      </c>
    </row>
    <row r="746" spans="1:14" x14ac:dyDescent="0.5">
      <c r="A746" t="s">
        <v>772</v>
      </c>
      <c r="B746" t="s">
        <v>32</v>
      </c>
      <c r="C746" t="s">
        <v>30</v>
      </c>
      <c r="D746" s="1">
        <v>45938</v>
      </c>
      <c r="E746" s="1">
        <v>45943</v>
      </c>
      <c r="F746" s="1">
        <v>45944</v>
      </c>
      <c r="G746" s="1">
        <v>45946</v>
      </c>
      <c r="H746" t="s">
        <v>17</v>
      </c>
      <c r="J746" s="1">
        <v>45972</v>
      </c>
      <c r="K746" s="7">
        <v>5</v>
      </c>
      <c r="L746" s="7">
        <v>1</v>
      </c>
      <c r="M746" s="7">
        <v>2</v>
      </c>
      <c r="N746" s="7">
        <v>5</v>
      </c>
    </row>
    <row r="747" spans="1:14" x14ac:dyDescent="0.5">
      <c r="A747" t="s">
        <v>773</v>
      </c>
      <c r="B747" t="s">
        <v>15</v>
      </c>
      <c r="C747" t="s">
        <v>16</v>
      </c>
      <c r="D747" s="1">
        <v>45958</v>
      </c>
      <c r="E747" s="1">
        <v>45960</v>
      </c>
      <c r="F747" s="1">
        <v>45963</v>
      </c>
      <c r="G747" s="1">
        <v>45969</v>
      </c>
      <c r="H747" t="s">
        <v>17</v>
      </c>
      <c r="J747" s="1">
        <v>45985</v>
      </c>
      <c r="K747" s="7">
        <v>2</v>
      </c>
      <c r="L747" s="7">
        <v>3</v>
      </c>
      <c r="M747" s="7">
        <v>6</v>
      </c>
      <c r="N747" s="7">
        <v>9</v>
      </c>
    </row>
    <row r="748" spans="1:14" x14ac:dyDescent="0.5">
      <c r="A748" t="s">
        <v>774</v>
      </c>
      <c r="B748" t="s">
        <v>15</v>
      </c>
      <c r="C748" t="s">
        <v>16</v>
      </c>
      <c r="D748" s="1">
        <v>45952</v>
      </c>
      <c r="E748" s="1">
        <v>45957</v>
      </c>
      <c r="F748" s="1">
        <v>45959</v>
      </c>
      <c r="G748" s="1">
        <v>45961</v>
      </c>
      <c r="H748" t="s">
        <v>23</v>
      </c>
      <c r="I748" s="2" t="s">
        <v>101</v>
      </c>
      <c r="K748" s="7">
        <v>5</v>
      </c>
      <c r="L748" s="7">
        <v>2</v>
      </c>
      <c r="M748" s="7">
        <v>2</v>
      </c>
    </row>
    <row r="749" spans="1:14" ht="36" x14ac:dyDescent="0.5">
      <c r="A749" t="s">
        <v>775</v>
      </c>
      <c r="B749" t="s">
        <v>21</v>
      </c>
      <c r="C749" t="s">
        <v>22</v>
      </c>
      <c r="D749" s="1">
        <v>45954</v>
      </c>
      <c r="H749" t="s">
        <v>23</v>
      </c>
      <c r="I749" s="2" t="s">
        <v>63</v>
      </c>
    </row>
    <row r="750" spans="1:14" x14ac:dyDescent="0.5">
      <c r="A750" t="s">
        <v>776</v>
      </c>
      <c r="B750" t="s">
        <v>21</v>
      </c>
      <c r="C750" t="s">
        <v>16</v>
      </c>
      <c r="D750" s="1">
        <v>45952</v>
      </c>
      <c r="E750" s="1">
        <v>45953</v>
      </c>
      <c r="F750" s="1">
        <v>45957</v>
      </c>
      <c r="G750" s="1">
        <v>45963</v>
      </c>
      <c r="H750" t="s">
        <v>17</v>
      </c>
      <c r="J750" s="1">
        <v>45973</v>
      </c>
      <c r="K750" s="7">
        <v>1</v>
      </c>
      <c r="L750" s="7">
        <v>4</v>
      </c>
      <c r="M750" s="7">
        <v>6</v>
      </c>
      <c r="N750" s="7">
        <v>7</v>
      </c>
    </row>
    <row r="751" spans="1:14" x14ac:dyDescent="0.5">
      <c r="A751" t="s">
        <v>777</v>
      </c>
      <c r="B751" t="s">
        <v>32</v>
      </c>
      <c r="C751" t="s">
        <v>30</v>
      </c>
      <c r="D751" s="1">
        <v>45943</v>
      </c>
      <c r="E751" s="1">
        <v>45944</v>
      </c>
      <c r="F751" s="1">
        <v>45946</v>
      </c>
      <c r="G751" s="1">
        <v>45949</v>
      </c>
      <c r="H751" t="s">
        <v>17</v>
      </c>
      <c r="J751" s="1">
        <v>45959</v>
      </c>
      <c r="K751" s="7">
        <v>1</v>
      </c>
      <c r="L751" s="7">
        <v>2</v>
      </c>
      <c r="M751" s="7">
        <v>3</v>
      </c>
      <c r="N751" s="7">
        <v>0</v>
      </c>
    </row>
    <row r="752" spans="1:14" x14ac:dyDescent="0.5">
      <c r="A752" t="s">
        <v>778</v>
      </c>
      <c r="B752" t="s">
        <v>21</v>
      </c>
      <c r="C752" t="s">
        <v>30</v>
      </c>
      <c r="D752" s="1">
        <v>45961</v>
      </c>
      <c r="E752" s="1">
        <v>45964</v>
      </c>
      <c r="F752" s="1">
        <v>45968</v>
      </c>
      <c r="G752" s="1">
        <v>45975</v>
      </c>
      <c r="H752" t="s">
        <v>17</v>
      </c>
      <c r="J752" s="1">
        <v>46005</v>
      </c>
      <c r="K752" s="7">
        <v>3</v>
      </c>
      <c r="L752" s="7">
        <v>4</v>
      </c>
      <c r="M752" s="7">
        <v>7</v>
      </c>
      <c r="N752" s="7">
        <v>7</v>
      </c>
    </row>
    <row r="753" spans="1:14" x14ac:dyDescent="0.5">
      <c r="A753" t="s">
        <v>779</v>
      </c>
      <c r="B753" t="s">
        <v>21</v>
      </c>
      <c r="C753" t="s">
        <v>30</v>
      </c>
      <c r="D753" s="1">
        <v>45958</v>
      </c>
      <c r="E753" s="1">
        <v>45962</v>
      </c>
      <c r="F753" s="1">
        <v>45965</v>
      </c>
      <c r="G753" s="1">
        <v>45970</v>
      </c>
      <c r="H753" t="s">
        <v>17</v>
      </c>
      <c r="J753" s="1">
        <v>45987</v>
      </c>
      <c r="K753" s="7">
        <v>4</v>
      </c>
      <c r="L753" s="7">
        <v>3</v>
      </c>
      <c r="M753" s="7">
        <v>5</v>
      </c>
      <c r="N753" s="7">
        <v>4</v>
      </c>
    </row>
    <row r="754" spans="1:14" x14ac:dyDescent="0.5">
      <c r="A754" t="s">
        <v>780</v>
      </c>
      <c r="B754" t="s">
        <v>21</v>
      </c>
      <c r="C754" t="s">
        <v>16</v>
      </c>
      <c r="D754" s="1">
        <v>45956</v>
      </c>
      <c r="E754" s="1">
        <v>45960</v>
      </c>
      <c r="F754" s="1">
        <v>45963</v>
      </c>
      <c r="G754" s="1">
        <v>45965</v>
      </c>
      <c r="H754" t="s">
        <v>17</v>
      </c>
      <c r="J754" s="1">
        <v>45982</v>
      </c>
      <c r="K754" s="7">
        <v>4</v>
      </c>
      <c r="L754" s="7">
        <v>3</v>
      </c>
      <c r="M754" s="7">
        <v>2</v>
      </c>
      <c r="N754" s="7">
        <v>4</v>
      </c>
    </row>
    <row r="755" spans="1:14" x14ac:dyDescent="0.5">
      <c r="A755" t="s">
        <v>781</v>
      </c>
      <c r="B755" t="s">
        <v>15</v>
      </c>
      <c r="C755" t="s">
        <v>30</v>
      </c>
      <c r="D755" s="1">
        <v>45948</v>
      </c>
      <c r="E755" s="1">
        <v>45953</v>
      </c>
      <c r="F755" s="1">
        <v>45954</v>
      </c>
      <c r="G755" s="1">
        <v>45960</v>
      </c>
      <c r="H755" t="s">
        <v>17</v>
      </c>
      <c r="J755" s="1">
        <v>45981</v>
      </c>
      <c r="K755" s="7">
        <v>5</v>
      </c>
      <c r="L755" s="7">
        <v>1</v>
      </c>
      <c r="M755" s="7">
        <v>6</v>
      </c>
      <c r="N755" s="7">
        <v>9</v>
      </c>
    </row>
    <row r="756" spans="1:14" x14ac:dyDescent="0.5">
      <c r="A756" t="s">
        <v>782</v>
      </c>
      <c r="B756" t="s">
        <v>32</v>
      </c>
      <c r="C756" t="s">
        <v>16</v>
      </c>
      <c r="D756" s="1">
        <v>45942</v>
      </c>
      <c r="E756" s="1">
        <v>45946</v>
      </c>
      <c r="F756" s="1">
        <v>45947</v>
      </c>
      <c r="G756" s="1">
        <v>45953</v>
      </c>
      <c r="H756" t="s">
        <v>17</v>
      </c>
      <c r="J756" s="1">
        <v>45972</v>
      </c>
      <c r="K756" s="7">
        <v>4</v>
      </c>
      <c r="L756" s="7">
        <v>1</v>
      </c>
      <c r="M756" s="7">
        <v>6</v>
      </c>
      <c r="N756" s="7">
        <v>6</v>
      </c>
    </row>
    <row r="757" spans="1:14" x14ac:dyDescent="0.5">
      <c r="A757" t="s">
        <v>783</v>
      </c>
      <c r="B757" t="s">
        <v>19</v>
      </c>
      <c r="C757" t="s">
        <v>16</v>
      </c>
      <c r="D757" s="1">
        <v>45933</v>
      </c>
      <c r="E757" s="1">
        <v>45937</v>
      </c>
      <c r="F757" s="1">
        <v>45938</v>
      </c>
      <c r="G757" s="1">
        <v>45940</v>
      </c>
      <c r="H757" t="s">
        <v>17</v>
      </c>
      <c r="J757" s="1">
        <v>45954</v>
      </c>
      <c r="K757" s="7">
        <v>4</v>
      </c>
      <c r="L757" s="7">
        <v>1</v>
      </c>
      <c r="M757" s="7">
        <v>2</v>
      </c>
      <c r="N757" s="7">
        <v>5</v>
      </c>
    </row>
    <row r="758" spans="1:14" x14ac:dyDescent="0.5">
      <c r="A758" t="s">
        <v>784</v>
      </c>
      <c r="B758" t="s">
        <v>15</v>
      </c>
      <c r="C758" t="s">
        <v>30</v>
      </c>
      <c r="D758" s="1">
        <v>45956</v>
      </c>
      <c r="E758" s="1">
        <v>45961</v>
      </c>
      <c r="F758" s="1">
        <v>45964</v>
      </c>
      <c r="G758" s="1">
        <v>45969</v>
      </c>
      <c r="H758" t="s">
        <v>17</v>
      </c>
      <c r="J758" s="1">
        <v>45982</v>
      </c>
      <c r="K758" s="7">
        <v>5</v>
      </c>
      <c r="L758" s="7">
        <v>3</v>
      </c>
      <c r="M758" s="7">
        <v>5</v>
      </c>
      <c r="N758" s="7">
        <v>7</v>
      </c>
    </row>
    <row r="759" spans="1:14" x14ac:dyDescent="0.5">
      <c r="A759" t="s">
        <v>785</v>
      </c>
      <c r="B759" t="s">
        <v>21</v>
      </c>
      <c r="C759" t="s">
        <v>30</v>
      </c>
      <c r="D759" s="1">
        <v>45943</v>
      </c>
      <c r="E759" s="1">
        <v>45944</v>
      </c>
      <c r="F759" s="1">
        <v>45948</v>
      </c>
      <c r="G759" s="1">
        <v>45955</v>
      </c>
      <c r="H759" t="s">
        <v>17</v>
      </c>
      <c r="J759" s="1">
        <v>45977</v>
      </c>
      <c r="K759" s="7">
        <v>1</v>
      </c>
      <c r="L759" s="7">
        <v>4</v>
      </c>
      <c r="M759" s="7">
        <v>7</v>
      </c>
      <c r="N759" s="7">
        <v>6</v>
      </c>
    </row>
    <row r="760" spans="1:14" x14ac:dyDescent="0.5">
      <c r="A760" t="s">
        <v>786</v>
      </c>
      <c r="B760" t="s">
        <v>15</v>
      </c>
      <c r="C760" t="s">
        <v>30</v>
      </c>
      <c r="D760" s="1">
        <v>45931</v>
      </c>
      <c r="E760" s="1">
        <v>45933</v>
      </c>
      <c r="F760" s="1">
        <v>45936</v>
      </c>
      <c r="G760" s="1">
        <v>45939</v>
      </c>
      <c r="H760" t="s">
        <v>17</v>
      </c>
      <c r="J760" s="1">
        <v>45965</v>
      </c>
      <c r="K760" s="7">
        <v>2</v>
      </c>
      <c r="L760" s="7">
        <v>3</v>
      </c>
      <c r="M760" s="7">
        <v>3</v>
      </c>
      <c r="N760" s="7">
        <v>6</v>
      </c>
    </row>
    <row r="761" spans="1:14" ht="36" x14ac:dyDescent="0.5">
      <c r="A761" t="s">
        <v>787</v>
      </c>
      <c r="B761" t="s">
        <v>21</v>
      </c>
      <c r="C761" t="s">
        <v>22</v>
      </c>
      <c r="D761" s="1">
        <v>45939</v>
      </c>
      <c r="H761" t="s">
        <v>23</v>
      </c>
      <c r="I761" s="2" t="s">
        <v>63</v>
      </c>
    </row>
    <row r="762" spans="1:14" x14ac:dyDescent="0.5">
      <c r="A762" t="s">
        <v>788</v>
      </c>
      <c r="B762" t="s">
        <v>21</v>
      </c>
      <c r="C762" t="s">
        <v>30</v>
      </c>
      <c r="D762" s="1">
        <v>45948</v>
      </c>
      <c r="E762" s="1">
        <v>45951</v>
      </c>
      <c r="F762" s="1">
        <v>45954</v>
      </c>
      <c r="G762" s="1">
        <v>45957</v>
      </c>
      <c r="H762" t="s">
        <v>17</v>
      </c>
      <c r="J762" s="1">
        <v>45985</v>
      </c>
      <c r="K762" s="7">
        <v>3</v>
      </c>
      <c r="L762" s="7">
        <v>3</v>
      </c>
      <c r="M762" s="7">
        <v>3</v>
      </c>
      <c r="N762" s="7">
        <v>2</v>
      </c>
    </row>
    <row r="763" spans="1:14" x14ac:dyDescent="0.5">
      <c r="A763" t="s">
        <v>789</v>
      </c>
      <c r="B763" t="s">
        <v>15</v>
      </c>
      <c r="C763" t="s">
        <v>16</v>
      </c>
      <c r="D763" s="1">
        <v>45934</v>
      </c>
      <c r="E763" s="1">
        <v>45935</v>
      </c>
      <c r="F763" s="1">
        <v>45936</v>
      </c>
      <c r="G763" s="1">
        <v>45940</v>
      </c>
      <c r="H763" t="s">
        <v>17</v>
      </c>
      <c r="J763" s="1">
        <v>45959</v>
      </c>
      <c r="K763" s="7">
        <v>1</v>
      </c>
      <c r="L763" s="7">
        <v>1</v>
      </c>
      <c r="M763" s="7">
        <v>4</v>
      </c>
      <c r="N763" s="7">
        <v>8</v>
      </c>
    </row>
    <row r="764" spans="1:14" ht="36" x14ac:dyDescent="0.5">
      <c r="A764" t="s">
        <v>790</v>
      </c>
      <c r="B764" t="s">
        <v>32</v>
      </c>
      <c r="C764" t="s">
        <v>22</v>
      </c>
      <c r="D764" s="1">
        <v>45945</v>
      </c>
      <c r="H764" t="s">
        <v>23</v>
      </c>
      <c r="I764" s="2" t="s">
        <v>33</v>
      </c>
    </row>
    <row r="765" spans="1:14" ht="36" x14ac:dyDescent="0.5">
      <c r="A765" t="s">
        <v>791</v>
      </c>
      <c r="B765" t="s">
        <v>21</v>
      </c>
      <c r="C765" t="s">
        <v>16</v>
      </c>
      <c r="D765" s="1">
        <v>45942</v>
      </c>
      <c r="E765" s="1">
        <v>45946</v>
      </c>
      <c r="F765" s="1">
        <v>45948</v>
      </c>
      <c r="G765" s="1">
        <v>45952</v>
      </c>
      <c r="H765" t="s">
        <v>23</v>
      </c>
      <c r="I765" s="2" t="s">
        <v>63</v>
      </c>
      <c r="K765" s="7">
        <v>4</v>
      </c>
      <c r="L765" s="7">
        <v>2</v>
      </c>
      <c r="M765" s="7">
        <v>4</v>
      </c>
    </row>
    <row r="766" spans="1:14" ht="36" x14ac:dyDescent="0.5">
      <c r="A766" t="s">
        <v>792</v>
      </c>
      <c r="B766" t="s">
        <v>32</v>
      </c>
      <c r="C766" t="s">
        <v>22</v>
      </c>
      <c r="D766" s="1">
        <v>45952</v>
      </c>
      <c r="H766" t="s">
        <v>23</v>
      </c>
      <c r="I766" s="2" t="s">
        <v>26</v>
      </c>
    </row>
    <row r="767" spans="1:14" x14ac:dyDescent="0.5">
      <c r="A767" t="s">
        <v>793</v>
      </c>
      <c r="B767" t="s">
        <v>19</v>
      </c>
      <c r="C767" t="s">
        <v>16</v>
      </c>
      <c r="D767" s="1">
        <v>45954</v>
      </c>
      <c r="E767" s="1">
        <v>45958</v>
      </c>
      <c r="F767" s="1">
        <v>45959</v>
      </c>
      <c r="G767" s="1">
        <v>45963</v>
      </c>
      <c r="H767" t="s">
        <v>17</v>
      </c>
      <c r="J767" s="1">
        <v>45978</v>
      </c>
      <c r="K767" s="7">
        <v>4</v>
      </c>
      <c r="L767" s="7">
        <v>1</v>
      </c>
      <c r="M767" s="7">
        <v>4</v>
      </c>
      <c r="N767" s="7">
        <v>1</v>
      </c>
    </row>
    <row r="768" spans="1:14" x14ac:dyDescent="0.5">
      <c r="A768" t="s">
        <v>794</v>
      </c>
      <c r="B768" t="s">
        <v>21</v>
      </c>
      <c r="C768" t="s">
        <v>22</v>
      </c>
      <c r="D768" s="1">
        <v>45952</v>
      </c>
      <c r="H768" t="s">
        <v>23</v>
      </c>
      <c r="I768" s="2" t="s">
        <v>101</v>
      </c>
    </row>
    <row r="769" spans="1:14" x14ac:dyDescent="0.5">
      <c r="A769" t="s">
        <v>795</v>
      </c>
      <c r="B769" t="s">
        <v>32</v>
      </c>
      <c r="C769" t="s">
        <v>30</v>
      </c>
      <c r="D769" s="1">
        <v>45939</v>
      </c>
      <c r="E769" s="1">
        <v>45944</v>
      </c>
      <c r="F769" s="1">
        <v>45946</v>
      </c>
      <c r="G769" s="1">
        <v>45951</v>
      </c>
      <c r="H769" t="s">
        <v>17</v>
      </c>
      <c r="J769" s="1">
        <v>45963</v>
      </c>
      <c r="K769" s="7">
        <v>5</v>
      </c>
      <c r="L769" s="7">
        <v>2</v>
      </c>
      <c r="M769" s="7">
        <v>5</v>
      </c>
      <c r="N769" s="7">
        <v>0</v>
      </c>
    </row>
    <row r="770" spans="1:14" x14ac:dyDescent="0.5">
      <c r="A770" t="s">
        <v>796</v>
      </c>
      <c r="B770" t="s">
        <v>32</v>
      </c>
      <c r="C770" t="s">
        <v>30</v>
      </c>
      <c r="D770" s="1">
        <v>45949</v>
      </c>
      <c r="E770" s="1">
        <v>45952</v>
      </c>
      <c r="F770" s="1">
        <v>45956</v>
      </c>
      <c r="G770" s="1">
        <v>45963</v>
      </c>
      <c r="H770" t="s">
        <v>17</v>
      </c>
      <c r="J770" s="1">
        <v>45974</v>
      </c>
      <c r="K770" s="7">
        <v>3</v>
      </c>
      <c r="L770" s="7">
        <v>4</v>
      </c>
      <c r="M770" s="7">
        <v>7</v>
      </c>
      <c r="N770" s="7">
        <v>4</v>
      </c>
    </row>
    <row r="771" spans="1:14" x14ac:dyDescent="0.5">
      <c r="A771" t="s">
        <v>797</v>
      </c>
      <c r="B771" t="s">
        <v>19</v>
      </c>
      <c r="C771" t="s">
        <v>16</v>
      </c>
      <c r="D771" s="1">
        <v>45943</v>
      </c>
      <c r="E771" s="1">
        <v>45945</v>
      </c>
      <c r="F771" s="1">
        <v>45949</v>
      </c>
      <c r="G771" s="1">
        <v>45956</v>
      </c>
      <c r="H771" t="s">
        <v>17</v>
      </c>
      <c r="J771" s="1">
        <v>45975</v>
      </c>
      <c r="K771" s="7">
        <v>2</v>
      </c>
      <c r="L771" s="7">
        <v>4</v>
      </c>
      <c r="M771" s="7">
        <v>7</v>
      </c>
      <c r="N771" s="7">
        <v>0</v>
      </c>
    </row>
    <row r="772" spans="1:14" ht="36" x14ac:dyDescent="0.5">
      <c r="A772" t="s">
        <v>798</v>
      </c>
      <c r="B772" t="s">
        <v>32</v>
      </c>
      <c r="C772" t="s">
        <v>22</v>
      </c>
      <c r="D772" s="1">
        <v>45957</v>
      </c>
      <c r="H772" t="s">
        <v>23</v>
      </c>
      <c r="I772" s="2" t="s">
        <v>26</v>
      </c>
    </row>
    <row r="773" spans="1:14" x14ac:dyDescent="0.5">
      <c r="A773" t="s">
        <v>799</v>
      </c>
      <c r="B773" t="s">
        <v>32</v>
      </c>
      <c r="C773" t="s">
        <v>22</v>
      </c>
      <c r="D773" s="1">
        <v>45951</v>
      </c>
      <c r="H773" t="s">
        <v>23</v>
      </c>
      <c r="I773" s="2" t="s">
        <v>24</v>
      </c>
    </row>
    <row r="774" spans="1:14" x14ac:dyDescent="0.5">
      <c r="A774" t="s">
        <v>800</v>
      </c>
      <c r="B774" t="s">
        <v>19</v>
      </c>
      <c r="C774" t="s">
        <v>30</v>
      </c>
      <c r="D774" s="1">
        <v>45961</v>
      </c>
      <c r="E774" s="1">
        <v>45966</v>
      </c>
      <c r="F774" s="1">
        <v>45971</v>
      </c>
      <c r="G774" s="1">
        <v>45975</v>
      </c>
      <c r="H774" t="s">
        <v>17</v>
      </c>
      <c r="J774" s="1">
        <v>45994</v>
      </c>
      <c r="K774" s="7">
        <v>5</v>
      </c>
      <c r="L774" s="7">
        <v>5</v>
      </c>
      <c r="M774" s="7">
        <v>4</v>
      </c>
      <c r="N774" s="7">
        <v>4</v>
      </c>
    </row>
    <row r="775" spans="1:14" x14ac:dyDescent="0.5">
      <c r="A775" t="s">
        <v>801</v>
      </c>
      <c r="B775" t="s">
        <v>21</v>
      </c>
      <c r="C775" t="s">
        <v>30</v>
      </c>
      <c r="D775" s="1">
        <v>45942</v>
      </c>
      <c r="E775" s="1">
        <v>45947</v>
      </c>
      <c r="F775" s="1">
        <v>45952</v>
      </c>
      <c r="G775" s="1">
        <v>45956</v>
      </c>
      <c r="H775" t="s">
        <v>17</v>
      </c>
      <c r="J775" s="1">
        <v>45980</v>
      </c>
      <c r="K775" s="7">
        <v>5</v>
      </c>
      <c r="L775" s="7">
        <v>5</v>
      </c>
      <c r="M775" s="7">
        <v>4</v>
      </c>
      <c r="N775" s="7">
        <v>1</v>
      </c>
    </row>
    <row r="776" spans="1:14" ht="36" x14ac:dyDescent="0.5">
      <c r="A776" t="s">
        <v>802</v>
      </c>
      <c r="B776" t="s">
        <v>32</v>
      </c>
      <c r="C776" t="s">
        <v>22</v>
      </c>
      <c r="D776" s="1">
        <v>45934</v>
      </c>
      <c r="H776" t="s">
        <v>23</v>
      </c>
      <c r="I776" s="2" t="s">
        <v>33</v>
      </c>
    </row>
    <row r="777" spans="1:14" x14ac:dyDescent="0.5">
      <c r="A777" t="s">
        <v>803</v>
      </c>
      <c r="B777" t="s">
        <v>32</v>
      </c>
      <c r="C777" t="s">
        <v>30</v>
      </c>
      <c r="D777" s="1">
        <v>45952</v>
      </c>
      <c r="E777" s="1">
        <v>45954</v>
      </c>
      <c r="F777" s="1">
        <v>45959</v>
      </c>
      <c r="G777" s="1">
        <v>45964</v>
      </c>
      <c r="H777" t="s">
        <v>17</v>
      </c>
      <c r="J777" s="1">
        <v>45990</v>
      </c>
      <c r="K777" s="7">
        <v>2</v>
      </c>
      <c r="L777" s="7">
        <v>5</v>
      </c>
      <c r="M777" s="7">
        <v>5</v>
      </c>
      <c r="N777" s="7">
        <v>10</v>
      </c>
    </row>
    <row r="778" spans="1:14" x14ac:dyDescent="0.5">
      <c r="A778" t="s">
        <v>804</v>
      </c>
      <c r="B778" t="s">
        <v>32</v>
      </c>
      <c r="C778" t="s">
        <v>16</v>
      </c>
      <c r="D778" s="1">
        <v>45938</v>
      </c>
      <c r="E778" s="1">
        <v>45940</v>
      </c>
      <c r="F778" s="1">
        <v>45944</v>
      </c>
      <c r="G778" s="1">
        <v>45948</v>
      </c>
      <c r="H778" t="s">
        <v>17</v>
      </c>
      <c r="J778" s="1">
        <v>45977</v>
      </c>
      <c r="K778" s="7">
        <v>2</v>
      </c>
      <c r="L778" s="7">
        <v>4</v>
      </c>
      <c r="M778" s="7">
        <v>4</v>
      </c>
      <c r="N778" s="7">
        <v>1</v>
      </c>
    </row>
    <row r="779" spans="1:14" ht="36" x14ac:dyDescent="0.5">
      <c r="A779" t="s">
        <v>805</v>
      </c>
      <c r="B779" t="s">
        <v>15</v>
      </c>
      <c r="C779" t="s">
        <v>22</v>
      </c>
      <c r="D779" s="1">
        <v>45946</v>
      </c>
      <c r="H779" t="s">
        <v>23</v>
      </c>
      <c r="I779" s="2" t="s">
        <v>63</v>
      </c>
    </row>
    <row r="780" spans="1:14" x14ac:dyDescent="0.5">
      <c r="A780" t="s">
        <v>806</v>
      </c>
      <c r="B780" t="s">
        <v>19</v>
      </c>
      <c r="C780" t="s">
        <v>16</v>
      </c>
      <c r="D780" s="1">
        <v>45931</v>
      </c>
      <c r="E780" s="1">
        <v>45935</v>
      </c>
      <c r="F780" s="1">
        <v>45936</v>
      </c>
      <c r="G780" s="1">
        <v>45939</v>
      </c>
      <c r="H780" t="s">
        <v>17</v>
      </c>
      <c r="J780" s="1">
        <v>45965</v>
      </c>
      <c r="K780" s="7">
        <v>4</v>
      </c>
      <c r="L780" s="7">
        <v>1</v>
      </c>
      <c r="M780" s="7">
        <v>3</v>
      </c>
      <c r="N780" s="7">
        <v>3</v>
      </c>
    </row>
    <row r="781" spans="1:14" x14ac:dyDescent="0.5">
      <c r="A781" t="s">
        <v>807</v>
      </c>
      <c r="B781" t="s">
        <v>15</v>
      </c>
      <c r="C781" t="s">
        <v>16</v>
      </c>
      <c r="D781" s="1">
        <v>45950</v>
      </c>
      <c r="E781" s="1">
        <v>45955</v>
      </c>
      <c r="F781" s="1">
        <v>45956</v>
      </c>
      <c r="G781" s="1">
        <v>45958</v>
      </c>
      <c r="H781" t="s">
        <v>17</v>
      </c>
      <c r="J781" s="1">
        <v>45978</v>
      </c>
      <c r="K781" s="7">
        <v>5</v>
      </c>
      <c r="L781" s="7">
        <v>1</v>
      </c>
      <c r="M781" s="7">
        <v>2</v>
      </c>
      <c r="N781" s="7">
        <v>2</v>
      </c>
    </row>
    <row r="782" spans="1:14" x14ac:dyDescent="0.5">
      <c r="A782" t="s">
        <v>808</v>
      </c>
      <c r="B782" t="s">
        <v>19</v>
      </c>
      <c r="C782" t="s">
        <v>16</v>
      </c>
      <c r="D782" s="1">
        <v>45959</v>
      </c>
      <c r="E782" s="1">
        <v>45960</v>
      </c>
      <c r="F782" s="1">
        <v>45961</v>
      </c>
      <c r="G782" s="1">
        <v>45964</v>
      </c>
      <c r="H782" t="s">
        <v>17</v>
      </c>
      <c r="J782" s="1">
        <v>45987</v>
      </c>
      <c r="K782" s="7">
        <v>1</v>
      </c>
      <c r="L782" s="7">
        <v>1</v>
      </c>
      <c r="M782" s="7">
        <v>3</v>
      </c>
      <c r="N782" s="7">
        <v>2</v>
      </c>
    </row>
    <row r="783" spans="1:14" x14ac:dyDescent="0.5">
      <c r="A783" t="s">
        <v>809</v>
      </c>
      <c r="B783" t="s">
        <v>21</v>
      </c>
      <c r="C783" t="s">
        <v>30</v>
      </c>
      <c r="D783" s="1">
        <v>45961</v>
      </c>
      <c r="E783" s="1">
        <v>45962</v>
      </c>
      <c r="F783" s="1">
        <v>45965</v>
      </c>
      <c r="G783" s="1">
        <v>45968</v>
      </c>
      <c r="H783" t="s">
        <v>17</v>
      </c>
      <c r="J783" s="1">
        <v>45982</v>
      </c>
      <c r="K783" s="7">
        <v>1</v>
      </c>
      <c r="L783" s="7">
        <v>3</v>
      </c>
      <c r="M783" s="7">
        <v>3</v>
      </c>
      <c r="N783" s="7">
        <v>4</v>
      </c>
    </row>
    <row r="784" spans="1:14" x14ac:dyDescent="0.5">
      <c r="A784" t="s">
        <v>810</v>
      </c>
      <c r="B784" t="s">
        <v>21</v>
      </c>
      <c r="C784" t="s">
        <v>22</v>
      </c>
      <c r="D784" s="1">
        <v>45948</v>
      </c>
      <c r="H784" t="s">
        <v>23</v>
      </c>
      <c r="I784" s="2" t="s">
        <v>24</v>
      </c>
    </row>
    <row r="785" spans="1:14" x14ac:dyDescent="0.5">
      <c r="A785" t="s">
        <v>811</v>
      </c>
      <c r="B785" t="s">
        <v>32</v>
      </c>
      <c r="C785" t="s">
        <v>16</v>
      </c>
      <c r="D785" s="1">
        <v>45941</v>
      </c>
      <c r="E785" s="1">
        <v>45946</v>
      </c>
      <c r="F785" s="1">
        <v>45951</v>
      </c>
      <c r="G785" s="1">
        <v>45957</v>
      </c>
      <c r="H785" t="s">
        <v>17</v>
      </c>
      <c r="J785" s="1">
        <v>45977</v>
      </c>
      <c r="K785" s="7">
        <v>5</v>
      </c>
      <c r="L785" s="7">
        <v>5</v>
      </c>
      <c r="M785" s="7">
        <v>6</v>
      </c>
      <c r="N785" s="7">
        <v>9</v>
      </c>
    </row>
    <row r="786" spans="1:14" ht="36" x14ac:dyDescent="0.5">
      <c r="A786" t="s">
        <v>812</v>
      </c>
      <c r="B786" t="s">
        <v>19</v>
      </c>
      <c r="C786" t="s">
        <v>22</v>
      </c>
      <c r="D786" s="1">
        <v>45960</v>
      </c>
      <c r="H786" t="s">
        <v>23</v>
      </c>
      <c r="I786" s="2" t="s">
        <v>63</v>
      </c>
    </row>
    <row r="787" spans="1:14" x14ac:dyDescent="0.5">
      <c r="A787" t="s">
        <v>813</v>
      </c>
      <c r="B787" t="s">
        <v>21</v>
      </c>
      <c r="C787" t="s">
        <v>30</v>
      </c>
      <c r="D787" s="1">
        <v>45950</v>
      </c>
      <c r="E787" s="1">
        <v>45952</v>
      </c>
      <c r="F787" s="1">
        <v>45953</v>
      </c>
      <c r="G787" s="1">
        <v>45955</v>
      </c>
      <c r="H787" t="s">
        <v>17</v>
      </c>
      <c r="J787" s="1">
        <v>45980</v>
      </c>
      <c r="K787" s="7">
        <v>2</v>
      </c>
      <c r="L787" s="7">
        <v>1</v>
      </c>
      <c r="M787" s="7">
        <v>2</v>
      </c>
      <c r="N787" s="7">
        <v>7</v>
      </c>
    </row>
    <row r="788" spans="1:14" x14ac:dyDescent="0.5">
      <c r="A788" t="s">
        <v>814</v>
      </c>
      <c r="B788" t="s">
        <v>19</v>
      </c>
      <c r="C788" t="s">
        <v>22</v>
      </c>
      <c r="D788" s="1">
        <v>45938</v>
      </c>
      <c r="H788" t="s">
        <v>23</v>
      </c>
      <c r="I788" s="2" t="s">
        <v>101</v>
      </c>
    </row>
    <row r="789" spans="1:14" x14ac:dyDescent="0.5">
      <c r="A789" t="s">
        <v>815</v>
      </c>
      <c r="B789" t="s">
        <v>21</v>
      </c>
      <c r="C789" t="s">
        <v>16</v>
      </c>
      <c r="D789" s="1">
        <v>45951</v>
      </c>
      <c r="E789" s="1">
        <v>45954</v>
      </c>
      <c r="F789" s="1">
        <v>45959</v>
      </c>
      <c r="G789" s="1">
        <v>45962</v>
      </c>
      <c r="H789" t="s">
        <v>17</v>
      </c>
      <c r="J789" s="1">
        <v>45983</v>
      </c>
      <c r="K789" s="7">
        <v>3</v>
      </c>
      <c r="L789" s="7">
        <v>5</v>
      </c>
      <c r="M789" s="7">
        <v>3</v>
      </c>
      <c r="N789" s="7">
        <v>3</v>
      </c>
    </row>
    <row r="790" spans="1:14" x14ac:dyDescent="0.5">
      <c r="A790" t="s">
        <v>816</v>
      </c>
      <c r="B790" t="s">
        <v>15</v>
      </c>
      <c r="C790" t="s">
        <v>30</v>
      </c>
      <c r="D790" s="1">
        <v>45933</v>
      </c>
      <c r="E790" s="1">
        <v>45935</v>
      </c>
      <c r="F790" s="1">
        <v>45940</v>
      </c>
      <c r="G790" s="1">
        <v>45942</v>
      </c>
      <c r="H790" t="s">
        <v>17</v>
      </c>
      <c r="J790" s="1">
        <v>45958</v>
      </c>
      <c r="K790" s="7">
        <v>2</v>
      </c>
      <c r="L790" s="7">
        <v>5</v>
      </c>
      <c r="M790" s="7">
        <v>2</v>
      </c>
      <c r="N790" s="7">
        <v>3</v>
      </c>
    </row>
    <row r="791" spans="1:14" x14ac:dyDescent="0.5">
      <c r="A791" t="s">
        <v>817</v>
      </c>
      <c r="B791" t="s">
        <v>21</v>
      </c>
      <c r="C791" t="s">
        <v>30</v>
      </c>
      <c r="D791" s="1">
        <v>45951</v>
      </c>
      <c r="E791" s="1">
        <v>45953</v>
      </c>
      <c r="F791" s="1">
        <v>45956</v>
      </c>
      <c r="G791" s="1">
        <v>45959</v>
      </c>
      <c r="H791" t="s">
        <v>17</v>
      </c>
      <c r="J791" s="1">
        <v>45974</v>
      </c>
      <c r="K791" s="7">
        <v>2</v>
      </c>
      <c r="L791" s="7">
        <v>3</v>
      </c>
      <c r="M791" s="7">
        <v>3</v>
      </c>
      <c r="N791" s="7">
        <v>3</v>
      </c>
    </row>
    <row r="792" spans="1:14" x14ac:dyDescent="0.5">
      <c r="A792" t="s">
        <v>818</v>
      </c>
      <c r="B792" t="s">
        <v>15</v>
      </c>
      <c r="C792" t="s">
        <v>16</v>
      </c>
      <c r="D792" s="1">
        <v>45957</v>
      </c>
      <c r="E792" s="1">
        <v>45960</v>
      </c>
      <c r="F792" s="1">
        <v>45964</v>
      </c>
      <c r="G792" s="1">
        <v>45969</v>
      </c>
      <c r="H792" t="s">
        <v>17</v>
      </c>
      <c r="J792" s="1">
        <v>45991</v>
      </c>
      <c r="K792" s="7">
        <v>3</v>
      </c>
      <c r="L792" s="7">
        <v>4</v>
      </c>
      <c r="M792" s="7">
        <v>5</v>
      </c>
      <c r="N792" s="7">
        <v>5</v>
      </c>
    </row>
    <row r="793" spans="1:14" x14ac:dyDescent="0.5">
      <c r="A793" t="s">
        <v>819</v>
      </c>
      <c r="B793" t="s">
        <v>21</v>
      </c>
      <c r="C793" t="s">
        <v>16</v>
      </c>
      <c r="D793" s="1">
        <v>45945</v>
      </c>
      <c r="E793" s="1">
        <v>45947</v>
      </c>
      <c r="F793" s="1">
        <v>45948</v>
      </c>
      <c r="G793" s="1">
        <v>45953</v>
      </c>
      <c r="H793" t="s">
        <v>17</v>
      </c>
      <c r="J793" s="1">
        <v>45963</v>
      </c>
      <c r="K793" s="7">
        <v>2</v>
      </c>
      <c r="L793" s="7">
        <v>1</v>
      </c>
      <c r="M793" s="7">
        <v>5</v>
      </c>
      <c r="N793" s="7">
        <v>8</v>
      </c>
    </row>
    <row r="794" spans="1:14" x14ac:dyDescent="0.5">
      <c r="A794" t="s">
        <v>820</v>
      </c>
      <c r="B794" t="s">
        <v>32</v>
      </c>
      <c r="C794" t="s">
        <v>22</v>
      </c>
      <c r="D794" s="1">
        <v>45960</v>
      </c>
      <c r="H794" t="s">
        <v>23</v>
      </c>
      <c r="I794" s="2" t="s">
        <v>101</v>
      </c>
    </row>
    <row r="795" spans="1:14" x14ac:dyDescent="0.5">
      <c r="A795" t="s">
        <v>821</v>
      </c>
      <c r="B795" t="s">
        <v>15</v>
      </c>
      <c r="C795" t="s">
        <v>30</v>
      </c>
      <c r="D795" s="1">
        <v>45953</v>
      </c>
      <c r="E795" s="1">
        <v>45956</v>
      </c>
      <c r="F795" s="1">
        <v>45959</v>
      </c>
      <c r="G795" s="1">
        <v>45963</v>
      </c>
      <c r="H795" t="s">
        <v>17</v>
      </c>
      <c r="J795" s="1">
        <v>45980</v>
      </c>
      <c r="K795" s="7">
        <v>3</v>
      </c>
      <c r="L795" s="7">
        <v>3</v>
      </c>
      <c r="M795" s="7">
        <v>4</v>
      </c>
      <c r="N795" s="7">
        <v>1</v>
      </c>
    </row>
    <row r="796" spans="1:14" x14ac:dyDescent="0.5">
      <c r="A796" t="s">
        <v>822</v>
      </c>
      <c r="B796" t="s">
        <v>21</v>
      </c>
      <c r="C796" t="s">
        <v>30</v>
      </c>
      <c r="D796" s="1">
        <v>45940</v>
      </c>
      <c r="E796" s="1">
        <v>45945</v>
      </c>
      <c r="F796" s="1">
        <v>45949</v>
      </c>
      <c r="G796" s="1">
        <v>45954</v>
      </c>
      <c r="H796" t="s">
        <v>17</v>
      </c>
      <c r="J796" s="1">
        <v>45971</v>
      </c>
      <c r="K796" s="7">
        <v>5</v>
      </c>
      <c r="L796" s="7">
        <v>4</v>
      </c>
      <c r="M796" s="7">
        <v>5</v>
      </c>
      <c r="N796" s="7">
        <v>10</v>
      </c>
    </row>
    <row r="797" spans="1:14" x14ac:dyDescent="0.5">
      <c r="A797" t="s">
        <v>823</v>
      </c>
      <c r="B797" t="s">
        <v>32</v>
      </c>
      <c r="C797" t="s">
        <v>16</v>
      </c>
      <c r="D797" s="1">
        <v>45951</v>
      </c>
      <c r="E797" s="1">
        <v>45954</v>
      </c>
      <c r="F797" s="1">
        <v>45958</v>
      </c>
      <c r="G797" s="1">
        <v>45960</v>
      </c>
      <c r="H797" t="s">
        <v>17</v>
      </c>
      <c r="J797" s="1">
        <v>45974</v>
      </c>
      <c r="K797" s="7">
        <v>3</v>
      </c>
      <c r="L797" s="7">
        <v>4</v>
      </c>
      <c r="M797" s="7">
        <v>2</v>
      </c>
      <c r="N797" s="7">
        <v>4</v>
      </c>
    </row>
    <row r="798" spans="1:14" x14ac:dyDescent="0.5">
      <c r="A798" t="s">
        <v>824</v>
      </c>
      <c r="B798" t="s">
        <v>15</v>
      </c>
      <c r="C798" t="s">
        <v>16</v>
      </c>
      <c r="D798" s="1">
        <v>45944</v>
      </c>
      <c r="E798" s="1">
        <v>45945</v>
      </c>
      <c r="F798" s="1">
        <v>45946</v>
      </c>
      <c r="G798" s="1">
        <v>45952</v>
      </c>
      <c r="H798" t="s">
        <v>17</v>
      </c>
      <c r="J798" s="1">
        <v>45968</v>
      </c>
      <c r="K798" s="7">
        <v>1</v>
      </c>
      <c r="L798" s="7">
        <v>1</v>
      </c>
      <c r="M798" s="7">
        <v>6</v>
      </c>
      <c r="N798" s="7">
        <v>8</v>
      </c>
    </row>
    <row r="799" spans="1:14" x14ac:dyDescent="0.5">
      <c r="A799" t="s">
        <v>825</v>
      </c>
      <c r="B799" t="s">
        <v>32</v>
      </c>
      <c r="C799" t="s">
        <v>16</v>
      </c>
      <c r="D799" s="1">
        <v>45934</v>
      </c>
      <c r="E799" s="1">
        <v>45937</v>
      </c>
      <c r="F799" s="1">
        <v>45942</v>
      </c>
      <c r="G799" s="1">
        <v>45946</v>
      </c>
      <c r="H799" t="s">
        <v>17</v>
      </c>
      <c r="J799" s="1">
        <v>45956</v>
      </c>
      <c r="K799" s="7">
        <v>3</v>
      </c>
      <c r="L799" s="7">
        <v>5</v>
      </c>
      <c r="M799" s="7">
        <v>4</v>
      </c>
      <c r="N799" s="7">
        <v>7</v>
      </c>
    </row>
    <row r="800" spans="1:14" x14ac:dyDescent="0.5">
      <c r="A800" t="s">
        <v>826</v>
      </c>
      <c r="B800" t="s">
        <v>19</v>
      </c>
      <c r="C800" t="s">
        <v>22</v>
      </c>
      <c r="D800" s="1">
        <v>45935</v>
      </c>
      <c r="H800" t="s">
        <v>23</v>
      </c>
      <c r="I800" s="2" t="s">
        <v>101</v>
      </c>
    </row>
    <row r="801" spans="1:14" ht="36" x14ac:dyDescent="0.5">
      <c r="A801" t="s">
        <v>827</v>
      </c>
      <c r="B801" t="s">
        <v>19</v>
      </c>
      <c r="C801" t="s">
        <v>22</v>
      </c>
      <c r="D801" s="1">
        <v>45932</v>
      </c>
      <c r="H801" t="s">
        <v>23</v>
      </c>
      <c r="I801" s="2" t="s">
        <v>63</v>
      </c>
    </row>
    <row r="802" spans="1:14" x14ac:dyDescent="0.5">
      <c r="A802" t="s">
        <v>828</v>
      </c>
      <c r="B802" t="s">
        <v>15</v>
      </c>
      <c r="C802" t="s">
        <v>22</v>
      </c>
      <c r="D802" s="1">
        <v>45961</v>
      </c>
      <c r="H802" t="s">
        <v>23</v>
      </c>
      <c r="I802" s="2" t="s">
        <v>24</v>
      </c>
    </row>
    <row r="803" spans="1:14" x14ac:dyDescent="0.5">
      <c r="A803" t="s">
        <v>829</v>
      </c>
      <c r="B803" t="s">
        <v>21</v>
      </c>
      <c r="C803" t="s">
        <v>16</v>
      </c>
      <c r="D803" s="1">
        <v>45932</v>
      </c>
      <c r="E803" s="1">
        <v>45934</v>
      </c>
      <c r="F803" s="1">
        <v>45936</v>
      </c>
      <c r="G803" s="1">
        <v>45939</v>
      </c>
      <c r="H803" t="s">
        <v>23</v>
      </c>
      <c r="I803" s="2" t="s">
        <v>101</v>
      </c>
      <c r="K803" s="7">
        <v>2</v>
      </c>
      <c r="L803" s="7">
        <v>2</v>
      </c>
      <c r="M803" s="7">
        <v>3</v>
      </c>
    </row>
    <row r="804" spans="1:14" x14ac:dyDescent="0.5">
      <c r="A804" t="s">
        <v>830</v>
      </c>
      <c r="B804" t="s">
        <v>15</v>
      </c>
      <c r="C804" t="s">
        <v>16</v>
      </c>
      <c r="D804" s="1">
        <v>45940</v>
      </c>
      <c r="E804" s="1">
        <v>45945</v>
      </c>
      <c r="F804" s="1">
        <v>45950</v>
      </c>
      <c r="G804" s="1">
        <v>45955</v>
      </c>
      <c r="H804" t="s">
        <v>17</v>
      </c>
      <c r="J804" s="1">
        <v>45983</v>
      </c>
      <c r="K804" s="7">
        <v>5</v>
      </c>
      <c r="L804" s="7">
        <v>5</v>
      </c>
      <c r="M804" s="7">
        <v>5</v>
      </c>
      <c r="N804" s="7">
        <v>10</v>
      </c>
    </row>
    <row r="805" spans="1:14" x14ac:dyDescent="0.5">
      <c r="A805" t="s">
        <v>831</v>
      </c>
      <c r="B805" t="s">
        <v>32</v>
      </c>
      <c r="C805" t="s">
        <v>16</v>
      </c>
      <c r="D805" s="1">
        <v>45946</v>
      </c>
      <c r="E805" s="1">
        <v>45949</v>
      </c>
      <c r="F805" s="1">
        <v>45954</v>
      </c>
      <c r="G805" s="1">
        <v>45958</v>
      </c>
      <c r="H805" t="s">
        <v>17</v>
      </c>
      <c r="J805" s="1">
        <v>45984</v>
      </c>
      <c r="K805" s="7">
        <v>3</v>
      </c>
      <c r="L805" s="7">
        <v>5</v>
      </c>
      <c r="M805" s="7">
        <v>4</v>
      </c>
      <c r="N805" s="7">
        <v>1</v>
      </c>
    </row>
    <row r="806" spans="1:14" x14ac:dyDescent="0.5">
      <c r="A806" t="s">
        <v>832</v>
      </c>
      <c r="B806" t="s">
        <v>21</v>
      </c>
      <c r="C806" t="s">
        <v>16</v>
      </c>
      <c r="D806" s="1">
        <v>45934</v>
      </c>
      <c r="E806" s="1">
        <v>45936</v>
      </c>
      <c r="F806" s="1">
        <v>45938</v>
      </c>
      <c r="G806" s="1">
        <v>45943</v>
      </c>
      <c r="H806" t="s">
        <v>17</v>
      </c>
      <c r="J806" s="1">
        <v>45958</v>
      </c>
      <c r="K806" s="7">
        <v>2</v>
      </c>
      <c r="L806" s="7">
        <v>2</v>
      </c>
      <c r="M806" s="7">
        <v>5</v>
      </c>
      <c r="N806" s="7">
        <v>9</v>
      </c>
    </row>
    <row r="807" spans="1:14" x14ac:dyDescent="0.5">
      <c r="A807" t="s">
        <v>833</v>
      </c>
      <c r="B807" t="s">
        <v>19</v>
      </c>
      <c r="C807" t="s">
        <v>22</v>
      </c>
      <c r="D807" s="1">
        <v>45934</v>
      </c>
      <c r="H807" t="s">
        <v>23</v>
      </c>
      <c r="I807" s="2" t="s">
        <v>24</v>
      </c>
    </row>
    <row r="808" spans="1:14" x14ac:dyDescent="0.5">
      <c r="A808" t="s">
        <v>834</v>
      </c>
      <c r="B808" t="s">
        <v>21</v>
      </c>
      <c r="C808" t="s">
        <v>30</v>
      </c>
      <c r="D808" s="1">
        <v>45938</v>
      </c>
      <c r="E808" s="1">
        <v>45941</v>
      </c>
      <c r="F808" s="1">
        <v>45945</v>
      </c>
      <c r="G808" s="1">
        <v>45949</v>
      </c>
      <c r="H808" t="s">
        <v>17</v>
      </c>
      <c r="J808" s="1">
        <v>45962</v>
      </c>
      <c r="K808" s="7">
        <v>3</v>
      </c>
      <c r="L808" s="7">
        <v>4</v>
      </c>
      <c r="M808" s="7">
        <v>4</v>
      </c>
      <c r="N808" s="7">
        <v>3</v>
      </c>
    </row>
    <row r="809" spans="1:14" x14ac:dyDescent="0.5">
      <c r="A809" t="s">
        <v>835</v>
      </c>
      <c r="B809" t="s">
        <v>19</v>
      </c>
      <c r="C809" t="s">
        <v>16</v>
      </c>
      <c r="D809" s="1">
        <v>45959</v>
      </c>
      <c r="E809" s="1">
        <v>45964</v>
      </c>
      <c r="F809" s="1">
        <v>45966</v>
      </c>
      <c r="G809" s="1">
        <v>45968</v>
      </c>
      <c r="H809" t="s">
        <v>17</v>
      </c>
      <c r="J809" s="1">
        <v>45989</v>
      </c>
      <c r="K809" s="7">
        <v>5</v>
      </c>
      <c r="L809" s="7">
        <v>2</v>
      </c>
      <c r="M809" s="7">
        <v>2</v>
      </c>
      <c r="N809" s="7">
        <v>2</v>
      </c>
    </row>
    <row r="810" spans="1:14" x14ac:dyDescent="0.5">
      <c r="A810" t="s">
        <v>836</v>
      </c>
      <c r="B810" t="s">
        <v>21</v>
      </c>
      <c r="C810" t="s">
        <v>30</v>
      </c>
      <c r="D810" s="1">
        <v>45948</v>
      </c>
      <c r="E810" s="1">
        <v>45953</v>
      </c>
      <c r="F810" s="1">
        <v>45955</v>
      </c>
      <c r="G810" s="1">
        <v>45957</v>
      </c>
      <c r="H810" t="s">
        <v>17</v>
      </c>
      <c r="J810" s="1">
        <v>45987</v>
      </c>
      <c r="K810" s="7">
        <v>5</v>
      </c>
      <c r="L810" s="7">
        <v>2</v>
      </c>
      <c r="M810" s="7">
        <v>2</v>
      </c>
      <c r="N810" s="7">
        <v>5</v>
      </c>
    </row>
    <row r="811" spans="1:14" x14ac:dyDescent="0.5">
      <c r="A811" t="s">
        <v>837</v>
      </c>
      <c r="B811" t="s">
        <v>21</v>
      </c>
      <c r="C811" t="s">
        <v>16</v>
      </c>
      <c r="D811" s="1">
        <v>45935</v>
      </c>
      <c r="E811" s="1">
        <v>45936</v>
      </c>
      <c r="F811" s="1">
        <v>45939</v>
      </c>
      <c r="G811" s="1">
        <v>45942</v>
      </c>
      <c r="H811" t="s">
        <v>17</v>
      </c>
      <c r="J811" s="1">
        <v>45953</v>
      </c>
      <c r="K811" s="7">
        <v>1</v>
      </c>
      <c r="L811" s="7">
        <v>3</v>
      </c>
      <c r="M811" s="7">
        <v>3</v>
      </c>
      <c r="N811" s="7">
        <v>1</v>
      </c>
    </row>
    <row r="812" spans="1:14" ht="36" x14ac:dyDescent="0.5">
      <c r="A812" t="s">
        <v>838</v>
      </c>
      <c r="B812" t="s">
        <v>21</v>
      </c>
      <c r="C812" t="s">
        <v>22</v>
      </c>
      <c r="D812" s="1">
        <v>45943</v>
      </c>
      <c r="H812" t="s">
        <v>23</v>
      </c>
      <c r="I812" s="2" t="s">
        <v>63</v>
      </c>
    </row>
    <row r="813" spans="1:14" x14ac:dyDescent="0.5">
      <c r="A813" t="s">
        <v>839</v>
      </c>
      <c r="B813" t="s">
        <v>32</v>
      </c>
      <c r="C813" t="s">
        <v>16</v>
      </c>
      <c r="D813" s="1">
        <v>45945</v>
      </c>
      <c r="E813" s="1">
        <v>45950</v>
      </c>
      <c r="F813" s="1">
        <v>45953</v>
      </c>
      <c r="G813" s="1">
        <v>45960</v>
      </c>
      <c r="H813" t="s">
        <v>17</v>
      </c>
      <c r="J813" s="1">
        <v>45982</v>
      </c>
      <c r="K813" s="7">
        <v>5</v>
      </c>
      <c r="L813" s="7">
        <v>3</v>
      </c>
      <c r="M813" s="7">
        <v>7</v>
      </c>
      <c r="N813" s="7">
        <v>7</v>
      </c>
    </row>
    <row r="814" spans="1:14" x14ac:dyDescent="0.5">
      <c r="A814" t="s">
        <v>840</v>
      </c>
      <c r="B814" t="s">
        <v>32</v>
      </c>
      <c r="C814" t="s">
        <v>30</v>
      </c>
      <c r="D814" s="1">
        <v>45942</v>
      </c>
      <c r="E814" s="1">
        <v>45944</v>
      </c>
      <c r="F814" s="1">
        <v>45947</v>
      </c>
      <c r="G814" s="1">
        <v>45951</v>
      </c>
      <c r="H814" t="s">
        <v>17</v>
      </c>
      <c r="J814" s="1">
        <v>45981</v>
      </c>
      <c r="K814" s="7">
        <v>2</v>
      </c>
      <c r="L814" s="7">
        <v>3</v>
      </c>
      <c r="M814" s="7">
        <v>4</v>
      </c>
      <c r="N814" s="7">
        <v>3</v>
      </c>
    </row>
    <row r="815" spans="1:14" x14ac:dyDescent="0.5">
      <c r="A815" t="s">
        <v>841</v>
      </c>
      <c r="B815" t="s">
        <v>15</v>
      </c>
      <c r="C815" t="s">
        <v>22</v>
      </c>
      <c r="D815" s="1">
        <v>45952</v>
      </c>
      <c r="H815" t="s">
        <v>23</v>
      </c>
      <c r="I815" s="2" t="s">
        <v>24</v>
      </c>
    </row>
    <row r="816" spans="1:14" x14ac:dyDescent="0.5">
      <c r="A816" t="s">
        <v>842</v>
      </c>
      <c r="B816" t="s">
        <v>15</v>
      </c>
      <c r="C816" t="s">
        <v>16</v>
      </c>
      <c r="D816" s="1">
        <v>45961</v>
      </c>
      <c r="E816" s="1">
        <v>45966</v>
      </c>
      <c r="F816" s="1">
        <v>45970</v>
      </c>
      <c r="G816" s="1">
        <v>45977</v>
      </c>
      <c r="H816" t="s">
        <v>17</v>
      </c>
      <c r="J816" s="1">
        <v>45995</v>
      </c>
      <c r="K816" s="7">
        <v>5</v>
      </c>
      <c r="L816" s="7">
        <v>4</v>
      </c>
      <c r="M816" s="7">
        <v>7</v>
      </c>
      <c r="N816" s="7">
        <v>2</v>
      </c>
    </row>
    <row r="817" spans="1:14" x14ac:dyDescent="0.5">
      <c r="A817" t="s">
        <v>843</v>
      </c>
      <c r="B817" t="s">
        <v>19</v>
      </c>
      <c r="C817" t="s">
        <v>30</v>
      </c>
      <c r="D817" s="1">
        <v>45954</v>
      </c>
      <c r="E817" s="1">
        <v>45959</v>
      </c>
      <c r="F817" s="1">
        <v>45961</v>
      </c>
      <c r="G817" s="1">
        <v>45968</v>
      </c>
      <c r="H817" t="s">
        <v>17</v>
      </c>
      <c r="J817" s="1">
        <v>45995</v>
      </c>
      <c r="K817" s="7">
        <v>5</v>
      </c>
      <c r="L817" s="7">
        <v>2</v>
      </c>
      <c r="M817" s="7">
        <v>7</v>
      </c>
      <c r="N817" s="7">
        <v>5</v>
      </c>
    </row>
    <row r="818" spans="1:14" ht="36" x14ac:dyDescent="0.5">
      <c r="A818" t="s">
        <v>844</v>
      </c>
      <c r="B818" t="s">
        <v>32</v>
      </c>
      <c r="C818" t="s">
        <v>30</v>
      </c>
      <c r="D818" s="1">
        <v>45953</v>
      </c>
      <c r="E818" s="1">
        <v>45955</v>
      </c>
      <c r="F818" s="1">
        <v>45956</v>
      </c>
      <c r="G818" s="1">
        <v>45962</v>
      </c>
      <c r="H818" t="s">
        <v>23</v>
      </c>
      <c r="I818" s="2" t="s">
        <v>63</v>
      </c>
      <c r="K818" s="7">
        <v>2</v>
      </c>
      <c r="L818" s="7">
        <v>1</v>
      </c>
      <c r="M818" s="7">
        <v>6</v>
      </c>
    </row>
    <row r="819" spans="1:14" x14ac:dyDescent="0.5">
      <c r="A819" t="s">
        <v>845</v>
      </c>
      <c r="B819" t="s">
        <v>19</v>
      </c>
      <c r="C819" t="s">
        <v>30</v>
      </c>
      <c r="D819" s="1">
        <v>45961</v>
      </c>
      <c r="E819" s="1">
        <v>45963</v>
      </c>
      <c r="F819" s="1">
        <v>45965</v>
      </c>
      <c r="G819" s="1">
        <v>45967</v>
      </c>
      <c r="H819" t="s">
        <v>17</v>
      </c>
      <c r="J819" s="1">
        <v>45996</v>
      </c>
      <c r="K819" s="7">
        <v>2</v>
      </c>
      <c r="L819" s="7">
        <v>2</v>
      </c>
      <c r="M819" s="7">
        <v>2</v>
      </c>
      <c r="N819" s="7">
        <v>8</v>
      </c>
    </row>
    <row r="820" spans="1:14" x14ac:dyDescent="0.5">
      <c r="A820" t="s">
        <v>846</v>
      </c>
      <c r="B820" t="s">
        <v>15</v>
      </c>
      <c r="C820" t="s">
        <v>30</v>
      </c>
      <c r="D820" s="1">
        <v>45948</v>
      </c>
      <c r="E820" s="1">
        <v>45953</v>
      </c>
      <c r="F820" s="1">
        <v>45957</v>
      </c>
      <c r="G820" s="1">
        <v>45960</v>
      </c>
      <c r="H820" t="s">
        <v>17</v>
      </c>
      <c r="J820" s="1">
        <v>45971</v>
      </c>
      <c r="K820" s="7">
        <v>5</v>
      </c>
      <c r="L820" s="7">
        <v>4</v>
      </c>
      <c r="M820" s="7">
        <v>3</v>
      </c>
      <c r="N820" s="7">
        <v>8</v>
      </c>
    </row>
    <row r="821" spans="1:14" ht="36" x14ac:dyDescent="0.5">
      <c r="A821" t="s">
        <v>847</v>
      </c>
      <c r="B821" t="s">
        <v>19</v>
      </c>
      <c r="C821" t="s">
        <v>22</v>
      </c>
      <c r="D821" s="1">
        <v>45944</v>
      </c>
      <c r="H821" t="s">
        <v>23</v>
      </c>
      <c r="I821" s="2" t="s">
        <v>63</v>
      </c>
    </row>
    <row r="822" spans="1:14" x14ac:dyDescent="0.5">
      <c r="A822" t="s">
        <v>848</v>
      </c>
      <c r="B822" t="s">
        <v>15</v>
      </c>
      <c r="C822" t="s">
        <v>16</v>
      </c>
      <c r="D822" s="1">
        <v>45949</v>
      </c>
      <c r="E822" s="1">
        <v>45954</v>
      </c>
      <c r="F822" s="1">
        <v>45957</v>
      </c>
      <c r="G822" s="1">
        <v>45961</v>
      </c>
      <c r="H822" t="s">
        <v>17</v>
      </c>
      <c r="J822" s="1">
        <v>45990</v>
      </c>
      <c r="K822" s="7">
        <v>5</v>
      </c>
      <c r="L822" s="7">
        <v>3</v>
      </c>
      <c r="M822" s="7">
        <v>4</v>
      </c>
      <c r="N822" s="7">
        <v>2</v>
      </c>
    </row>
    <row r="823" spans="1:14" ht="36" x14ac:dyDescent="0.5">
      <c r="A823" t="s">
        <v>849</v>
      </c>
      <c r="B823" t="s">
        <v>32</v>
      </c>
      <c r="C823" t="s">
        <v>22</v>
      </c>
      <c r="D823" s="1">
        <v>45954</v>
      </c>
      <c r="H823" t="s">
        <v>23</v>
      </c>
      <c r="I823" s="2" t="s">
        <v>33</v>
      </c>
    </row>
    <row r="824" spans="1:14" x14ac:dyDescent="0.5">
      <c r="A824" t="s">
        <v>850</v>
      </c>
      <c r="B824" t="s">
        <v>21</v>
      </c>
      <c r="C824" t="s">
        <v>16</v>
      </c>
      <c r="D824" s="1">
        <v>45954</v>
      </c>
      <c r="E824" s="1">
        <v>45957</v>
      </c>
      <c r="F824" s="1">
        <v>45961</v>
      </c>
      <c r="G824" s="1">
        <v>45964</v>
      </c>
      <c r="H824" t="s">
        <v>17</v>
      </c>
      <c r="J824" s="1">
        <v>45975</v>
      </c>
      <c r="K824" s="7">
        <v>3</v>
      </c>
      <c r="L824" s="7">
        <v>4</v>
      </c>
      <c r="M824" s="7">
        <v>3</v>
      </c>
      <c r="N824" s="7">
        <v>3</v>
      </c>
    </row>
    <row r="825" spans="1:14" x14ac:dyDescent="0.5">
      <c r="A825" t="s">
        <v>851</v>
      </c>
      <c r="B825" t="s">
        <v>32</v>
      </c>
      <c r="C825" t="s">
        <v>30</v>
      </c>
      <c r="D825" s="1">
        <v>45935</v>
      </c>
      <c r="E825" s="1">
        <v>45940</v>
      </c>
      <c r="F825" s="1">
        <v>45943</v>
      </c>
      <c r="G825" s="1">
        <v>45945</v>
      </c>
      <c r="H825" t="s">
        <v>17</v>
      </c>
      <c r="J825" s="1">
        <v>45958</v>
      </c>
      <c r="K825" s="7">
        <v>5</v>
      </c>
      <c r="L825" s="7">
        <v>3</v>
      </c>
      <c r="M825" s="7">
        <v>2</v>
      </c>
      <c r="N825" s="7">
        <v>4</v>
      </c>
    </row>
    <row r="826" spans="1:14" ht="36" x14ac:dyDescent="0.5">
      <c r="A826" t="s">
        <v>852</v>
      </c>
      <c r="B826" t="s">
        <v>19</v>
      </c>
      <c r="C826" t="s">
        <v>16</v>
      </c>
      <c r="D826" s="1">
        <v>45959</v>
      </c>
      <c r="E826" s="1">
        <v>45960</v>
      </c>
      <c r="F826" s="1">
        <v>45964</v>
      </c>
      <c r="G826" s="1">
        <v>45971</v>
      </c>
      <c r="H826" t="s">
        <v>23</v>
      </c>
      <c r="I826" s="2" t="s">
        <v>63</v>
      </c>
      <c r="K826" s="7">
        <v>1</v>
      </c>
      <c r="L826" s="7">
        <v>4</v>
      </c>
      <c r="M826" s="7">
        <v>7</v>
      </c>
    </row>
    <row r="827" spans="1:14" x14ac:dyDescent="0.5">
      <c r="A827" t="s">
        <v>853</v>
      </c>
      <c r="B827" t="s">
        <v>19</v>
      </c>
      <c r="C827" t="s">
        <v>30</v>
      </c>
      <c r="D827" s="1">
        <v>45944</v>
      </c>
      <c r="E827" s="1">
        <v>45945</v>
      </c>
      <c r="F827" s="1">
        <v>45946</v>
      </c>
      <c r="G827" s="1">
        <v>45949</v>
      </c>
      <c r="H827" t="s">
        <v>17</v>
      </c>
      <c r="J827" s="1">
        <v>45979</v>
      </c>
      <c r="K827" s="7">
        <v>1</v>
      </c>
      <c r="L827" s="7">
        <v>1</v>
      </c>
      <c r="M827" s="7">
        <v>3</v>
      </c>
      <c r="N827" s="7">
        <v>3</v>
      </c>
    </row>
    <row r="828" spans="1:14" x14ac:dyDescent="0.5">
      <c r="A828" t="s">
        <v>854</v>
      </c>
      <c r="B828" t="s">
        <v>32</v>
      </c>
      <c r="C828" t="s">
        <v>16</v>
      </c>
      <c r="D828" s="1">
        <v>45951</v>
      </c>
      <c r="E828" s="1">
        <v>45952</v>
      </c>
      <c r="F828" s="1">
        <v>45955</v>
      </c>
      <c r="G828" s="1">
        <v>45959</v>
      </c>
      <c r="H828" t="s">
        <v>17</v>
      </c>
      <c r="J828" s="1">
        <v>45969</v>
      </c>
      <c r="K828" s="7">
        <v>1</v>
      </c>
      <c r="L828" s="7">
        <v>3</v>
      </c>
      <c r="M828" s="7">
        <v>4</v>
      </c>
      <c r="N828" s="7">
        <v>6</v>
      </c>
    </row>
    <row r="829" spans="1:14" ht="36" x14ac:dyDescent="0.5">
      <c r="A829" t="s">
        <v>855</v>
      </c>
      <c r="B829" t="s">
        <v>32</v>
      </c>
      <c r="C829" t="s">
        <v>22</v>
      </c>
      <c r="D829" s="1">
        <v>45934</v>
      </c>
      <c r="H829" t="s">
        <v>23</v>
      </c>
      <c r="I829" s="2" t="s">
        <v>63</v>
      </c>
    </row>
    <row r="830" spans="1:14" x14ac:dyDescent="0.5">
      <c r="A830" t="s">
        <v>856</v>
      </c>
      <c r="B830" t="s">
        <v>15</v>
      </c>
      <c r="C830" t="s">
        <v>16</v>
      </c>
      <c r="D830" s="1">
        <v>45957</v>
      </c>
      <c r="E830" s="1">
        <v>45958</v>
      </c>
      <c r="F830" s="1">
        <v>45961</v>
      </c>
      <c r="G830" s="1">
        <v>45966</v>
      </c>
      <c r="H830" t="s">
        <v>17</v>
      </c>
      <c r="J830" s="1">
        <v>45977</v>
      </c>
      <c r="K830" s="7">
        <v>1</v>
      </c>
      <c r="L830" s="7">
        <v>3</v>
      </c>
      <c r="M830" s="7">
        <v>5</v>
      </c>
      <c r="N830" s="7">
        <v>2</v>
      </c>
    </row>
    <row r="831" spans="1:14" ht="36" x14ac:dyDescent="0.5">
      <c r="A831" t="s">
        <v>857</v>
      </c>
      <c r="B831" t="s">
        <v>19</v>
      </c>
      <c r="C831" t="s">
        <v>16</v>
      </c>
      <c r="D831" s="1">
        <v>45946</v>
      </c>
      <c r="E831" s="1">
        <v>45951</v>
      </c>
      <c r="F831" s="1">
        <v>45953</v>
      </c>
      <c r="G831" s="1">
        <v>45959</v>
      </c>
      <c r="H831" t="s">
        <v>23</v>
      </c>
      <c r="I831" s="2" t="s">
        <v>26</v>
      </c>
      <c r="K831" s="7">
        <v>5</v>
      </c>
      <c r="L831" s="7">
        <v>2</v>
      </c>
      <c r="M831" s="7">
        <v>6</v>
      </c>
    </row>
    <row r="832" spans="1:14" x14ac:dyDescent="0.5">
      <c r="A832" t="s">
        <v>858</v>
      </c>
      <c r="B832" t="s">
        <v>19</v>
      </c>
      <c r="C832" t="s">
        <v>30</v>
      </c>
      <c r="D832" s="1">
        <v>45950</v>
      </c>
      <c r="E832" s="1">
        <v>45953</v>
      </c>
      <c r="F832" s="1">
        <v>45957</v>
      </c>
      <c r="G832" s="1">
        <v>45959</v>
      </c>
      <c r="H832" t="s">
        <v>23</v>
      </c>
      <c r="I832" s="2" t="s">
        <v>101</v>
      </c>
      <c r="K832" s="7">
        <v>3</v>
      </c>
      <c r="L832" s="7">
        <v>4</v>
      </c>
      <c r="M832" s="7">
        <v>2</v>
      </c>
    </row>
    <row r="833" spans="1:14" x14ac:dyDescent="0.5">
      <c r="A833" t="s">
        <v>859</v>
      </c>
      <c r="B833" t="s">
        <v>32</v>
      </c>
      <c r="C833" t="s">
        <v>30</v>
      </c>
      <c r="D833" s="1">
        <v>45944</v>
      </c>
      <c r="E833" s="1">
        <v>45946</v>
      </c>
      <c r="F833" s="1">
        <v>45951</v>
      </c>
      <c r="G833" s="1">
        <v>45958</v>
      </c>
      <c r="H833" t="s">
        <v>17</v>
      </c>
      <c r="J833" s="1">
        <v>45971</v>
      </c>
      <c r="K833" s="7">
        <v>2</v>
      </c>
      <c r="L833" s="7">
        <v>5</v>
      </c>
      <c r="M833" s="7">
        <v>7</v>
      </c>
      <c r="N833" s="7">
        <v>9</v>
      </c>
    </row>
    <row r="834" spans="1:14" x14ac:dyDescent="0.5">
      <c r="A834" t="s">
        <v>860</v>
      </c>
      <c r="B834" t="s">
        <v>21</v>
      </c>
      <c r="C834" t="s">
        <v>30</v>
      </c>
      <c r="D834" s="1">
        <v>45961</v>
      </c>
      <c r="E834" s="1">
        <v>45966</v>
      </c>
      <c r="F834" s="1">
        <v>45971</v>
      </c>
      <c r="G834" s="1">
        <v>45975</v>
      </c>
      <c r="H834" t="s">
        <v>17</v>
      </c>
      <c r="J834" s="1">
        <v>45998</v>
      </c>
      <c r="K834" s="7">
        <v>5</v>
      </c>
      <c r="L834" s="7">
        <v>5</v>
      </c>
      <c r="M834" s="7">
        <v>4</v>
      </c>
      <c r="N834" s="7">
        <v>9</v>
      </c>
    </row>
    <row r="835" spans="1:14" x14ac:dyDescent="0.5">
      <c r="A835" t="s">
        <v>861</v>
      </c>
      <c r="B835" t="s">
        <v>19</v>
      </c>
      <c r="C835" t="s">
        <v>16</v>
      </c>
      <c r="D835" s="1">
        <v>45961</v>
      </c>
      <c r="E835" s="1">
        <v>45965</v>
      </c>
      <c r="F835" s="1">
        <v>45967</v>
      </c>
      <c r="G835" s="1">
        <v>45971</v>
      </c>
      <c r="H835" t="s">
        <v>17</v>
      </c>
      <c r="J835" s="1">
        <v>45995</v>
      </c>
      <c r="K835" s="7">
        <v>4</v>
      </c>
      <c r="L835" s="7">
        <v>2</v>
      </c>
      <c r="M835" s="7">
        <v>4</v>
      </c>
      <c r="N835" s="7">
        <v>6</v>
      </c>
    </row>
    <row r="836" spans="1:14" x14ac:dyDescent="0.5">
      <c r="A836" t="s">
        <v>862</v>
      </c>
      <c r="B836" t="s">
        <v>21</v>
      </c>
      <c r="C836" t="s">
        <v>30</v>
      </c>
      <c r="D836" s="1">
        <v>45939</v>
      </c>
      <c r="E836" s="1">
        <v>45944</v>
      </c>
      <c r="F836" s="1">
        <v>45948</v>
      </c>
      <c r="G836" s="1">
        <v>45951</v>
      </c>
      <c r="H836" t="s">
        <v>17</v>
      </c>
      <c r="J836" s="1">
        <v>45973</v>
      </c>
      <c r="K836" s="7">
        <v>5</v>
      </c>
      <c r="L836" s="7">
        <v>4</v>
      </c>
      <c r="M836" s="7">
        <v>3</v>
      </c>
      <c r="N836" s="7">
        <v>8</v>
      </c>
    </row>
    <row r="837" spans="1:14" ht="36" x14ac:dyDescent="0.5">
      <c r="A837" t="s">
        <v>863</v>
      </c>
      <c r="B837" t="s">
        <v>32</v>
      </c>
      <c r="C837" t="s">
        <v>16</v>
      </c>
      <c r="D837" s="1">
        <v>45932</v>
      </c>
      <c r="E837" s="1">
        <v>45933</v>
      </c>
      <c r="F837" s="1">
        <v>45934</v>
      </c>
      <c r="G837" s="1">
        <v>45936</v>
      </c>
      <c r="H837" t="s">
        <v>23</v>
      </c>
      <c r="I837" s="2" t="s">
        <v>33</v>
      </c>
      <c r="K837" s="7">
        <v>1</v>
      </c>
      <c r="L837" s="7">
        <v>1</v>
      </c>
      <c r="M837" s="7">
        <v>2</v>
      </c>
    </row>
    <row r="838" spans="1:14" x14ac:dyDescent="0.5">
      <c r="A838" t="s">
        <v>864</v>
      </c>
      <c r="B838" t="s">
        <v>32</v>
      </c>
      <c r="C838" t="s">
        <v>16</v>
      </c>
      <c r="D838" s="1">
        <v>45953</v>
      </c>
      <c r="E838" s="1">
        <v>45957</v>
      </c>
      <c r="F838" s="1">
        <v>45959</v>
      </c>
      <c r="G838" s="1">
        <v>45964</v>
      </c>
      <c r="H838" t="s">
        <v>17</v>
      </c>
      <c r="J838" s="1">
        <v>45977</v>
      </c>
      <c r="K838" s="7">
        <v>4</v>
      </c>
      <c r="L838" s="7">
        <v>2</v>
      </c>
      <c r="M838" s="7">
        <v>5</v>
      </c>
      <c r="N838" s="7">
        <v>2</v>
      </c>
    </row>
    <row r="839" spans="1:14" x14ac:dyDescent="0.5">
      <c r="A839" t="s">
        <v>865</v>
      </c>
      <c r="B839" t="s">
        <v>15</v>
      </c>
      <c r="C839" t="s">
        <v>16</v>
      </c>
      <c r="D839" s="1">
        <v>45942</v>
      </c>
      <c r="E839" s="1">
        <v>45947</v>
      </c>
      <c r="F839" s="1">
        <v>45950</v>
      </c>
      <c r="G839" s="1">
        <v>45955</v>
      </c>
      <c r="H839" t="s">
        <v>17</v>
      </c>
      <c r="J839" s="1">
        <v>45982</v>
      </c>
      <c r="K839" s="7">
        <v>5</v>
      </c>
      <c r="L839" s="7">
        <v>3</v>
      </c>
      <c r="M839" s="7">
        <v>5</v>
      </c>
      <c r="N839" s="7">
        <v>6</v>
      </c>
    </row>
    <row r="840" spans="1:14" x14ac:dyDescent="0.5">
      <c r="A840" t="s">
        <v>866</v>
      </c>
      <c r="B840" t="s">
        <v>19</v>
      </c>
      <c r="C840" t="s">
        <v>30</v>
      </c>
      <c r="D840" s="1">
        <v>45937</v>
      </c>
      <c r="E840" s="1">
        <v>45940</v>
      </c>
      <c r="F840" s="1">
        <v>45941</v>
      </c>
      <c r="G840" s="1">
        <v>45947</v>
      </c>
      <c r="H840" t="s">
        <v>17</v>
      </c>
      <c r="J840" s="1">
        <v>45965</v>
      </c>
      <c r="K840" s="7">
        <v>3</v>
      </c>
      <c r="L840" s="7">
        <v>1</v>
      </c>
      <c r="M840" s="7">
        <v>6</v>
      </c>
      <c r="N840" s="7">
        <v>6</v>
      </c>
    </row>
    <row r="841" spans="1:14" x14ac:dyDescent="0.5">
      <c r="A841" t="s">
        <v>867</v>
      </c>
      <c r="B841" t="s">
        <v>21</v>
      </c>
      <c r="C841" t="s">
        <v>30</v>
      </c>
      <c r="D841" s="1">
        <v>45945</v>
      </c>
      <c r="E841" s="1">
        <v>45948</v>
      </c>
      <c r="F841" s="1">
        <v>45952</v>
      </c>
      <c r="G841" s="1">
        <v>45959</v>
      </c>
      <c r="H841" t="s">
        <v>17</v>
      </c>
      <c r="J841" s="1">
        <v>45984</v>
      </c>
      <c r="K841" s="7">
        <v>3</v>
      </c>
      <c r="L841" s="7">
        <v>4</v>
      </c>
      <c r="M841" s="7">
        <v>7</v>
      </c>
      <c r="N841" s="7">
        <v>9</v>
      </c>
    </row>
    <row r="842" spans="1:14" ht="36" x14ac:dyDescent="0.5">
      <c r="A842" t="s">
        <v>868</v>
      </c>
      <c r="B842" t="s">
        <v>15</v>
      </c>
      <c r="C842" t="s">
        <v>22</v>
      </c>
      <c r="D842" s="1">
        <v>45945</v>
      </c>
      <c r="H842" t="s">
        <v>23</v>
      </c>
      <c r="I842" s="2" t="s">
        <v>33</v>
      </c>
    </row>
    <row r="843" spans="1:14" x14ac:dyDescent="0.5">
      <c r="A843" t="s">
        <v>869</v>
      </c>
      <c r="B843" t="s">
        <v>19</v>
      </c>
      <c r="C843" t="s">
        <v>16</v>
      </c>
      <c r="D843" s="1">
        <v>45961</v>
      </c>
      <c r="E843" s="1">
        <v>45965</v>
      </c>
      <c r="F843" s="1">
        <v>45968</v>
      </c>
      <c r="G843" s="1">
        <v>45974</v>
      </c>
      <c r="H843" t="s">
        <v>17</v>
      </c>
      <c r="J843" s="1">
        <v>45988</v>
      </c>
      <c r="K843" s="7">
        <v>4</v>
      </c>
      <c r="L843" s="7">
        <v>3</v>
      </c>
      <c r="M843" s="7">
        <v>6</v>
      </c>
      <c r="N843" s="7">
        <v>9</v>
      </c>
    </row>
    <row r="844" spans="1:14" x14ac:dyDescent="0.5">
      <c r="A844" t="s">
        <v>870</v>
      </c>
      <c r="B844" t="s">
        <v>15</v>
      </c>
      <c r="C844" t="s">
        <v>16</v>
      </c>
      <c r="D844" s="1">
        <v>45938</v>
      </c>
      <c r="E844" s="1">
        <v>45940</v>
      </c>
      <c r="F844" s="1">
        <v>45945</v>
      </c>
      <c r="G844" s="1">
        <v>45948</v>
      </c>
      <c r="H844" t="s">
        <v>17</v>
      </c>
      <c r="J844" s="1">
        <v>45964</v>
      </c>
      <c r="K844" s="7">
        <v>2</v>
      </c>
      <c r="L844" s="7">
        <v>5</v>
      </c>
      <c r="M844" s="7">
        <v>3</v>
      </c>
      <c r="N844" s="7">
        <v>0</v>
      </c>
    </row>
    <row r="845" spans="1:14" ht="36" x14ac:dyDescent="0.5">
      <c r="A845" t="s">
        <v>871</v>
      </c>
      <c r="B845" t="s">
        <v>32</v>
      </c>
      <c r="C845" t="s">
        <v>30</v>
      </c>
      <c r="D845" s="1">
        <v>45958</v>
      </c>
      <c r="E845" s="1">
        <v>45962</v>
      </c>
      <c r="F845" s="1">
        <v>45966</v>
      </c>
      <c r="G845" s="1">
        <v>45968</v>
      </c>
      <c r="H845" t="s">
        <v>23</v>
      </c>
      <c r="I845" s="2" t="s">
        <v>33</v>
      </c>
      <c r="K845" s="7">
        <v>4</v>
      </c>
      <c r="L845" s="7">
        <v>4</v>
      </c>
      <c r="M845" s="7">
        <v>2</v>
      </c>
    </row>
    <row r="846" spans="1:14" ht="36" x14ac:dyDescent="0.5">
      <c r="A846" t="s">
        <v>872</v>
      </c>
      <c r="B846" t="s">
        <v>19</v>
      </c>
      <c r="C846" t="s">
        <v>22</v>
      </c>
      <c r="D846" s="1">
        <v>45942</v>
      </c>
      <c r="H846" t="s">
        <v>23</v>
      </c>
      <c r="I846" s="2" t="s">
        <v>26</v>
      </c>
    </row>
    <row r="847" spans="1:14" x14ac:dyDescent="0.5">
      <c r="A847" t="s">
        <v>873</v>
      </c>
      <c r="B847" t="s">
        <v>15</v>
      </c>
      <c r="C847" t="s">
        <v>16</v>
      </c>
      <c r="D847" s="1">
        <v>45934</v>
      </c>
      <c r="E847" s="1">
        <v>45937</v>
      </c>
      <c r="F847" s="1">
        <v>45940</v>
      </c>
      <c r="G847" s="1">
        <v>45945</v>
      </c>
      <c r="H847" t="s">
        <v>17</v>
      </c>
      <c r="J847" s="1">
        <v>45975</v>
      </c>
      <c r="K847" s="7">
        <v>3</v>
      </c>
      <c r="L847" s="7">
        <v>3</v>
      </c>
      <c r="M847" s="7">
        <v>5</v>
      </c>
      <c r="N847" s="7">
        <v>7</v>
      </c>
    </row>
    <row r="848" spans="1:14" x14ac:dyDescent="0.5">
      <c r="A848" t="s">
        <v>874</v>
      </c>
      <c r="B848" t="s">
        <v>15</v>
      </c>
      <c r="C848" t="s">
        <v>16</v>
      </c>
      <c r="D848" s="1">
        <v>45952</v>
      </c>
      <c r="E848" s="1">
        <v>45956</v>
      </c>
      <c r="F848" s="1">
        <v>45960</v>
      </c>
      <c r="G848" s="1">
        <v>45962</v>
      </c>
      <c r="H848" t="s">
        <v>17</v>
      </c>
      <c r="J848" s="1">
        <v>45972</v>
      </c>
      <c r="K848" s="7">
        <v>4</v>
      </c>
      <c r="L848" s="7">
        <v>4</v>
      </c>
      <c r="M848" s="7">
        <v>2</v>
      </c>
      <c r="N848" s="7">
        <v>3</v>
      </c>
    </row>
    <row r="849" spans="1:14" ht="36" x14ac:dyDescent="0.5">
      <c r="A849" t="s">
        <v>875</v>
      </c>
      <c r="B849" t="s">
        <v>21</v>
      </c>
      <c r="C849" t="s">
        <v>22</v>
      </c>
      <c r="D849" s="1">
        <v>45942</v>
      </c>
      <c r="H849" t="s">
        <v>23</v>
      </c>
      <c r="I849" s="2" t="s">
        <v>63</v>
      </c>
    </row>
    <row r="850" spans="1:14" x14ac:dyDescent="0.5">
      <c r="A850" t="s">
        <v>876</v>
      </c>
      <c r="B850" t="s">
        <v>15</v>
      </c>
      <c r="C850" t="s">
        <v>30</v>
      </c>
      <c r="D850" s="1">
        <v>45948</v>
      </c>
      <c r="E850" s="1">
        <v>45949</v>
      </c>
      <c r="F850" s="1">
        <v>45952</v>
      </c>
      <c r="G850" s="1">
        <v>45955</v>
      </c>
      <c r="H850" t="s">
        <v>17</v>
      </c>
      <c r="J850" s="1">
        <v>45974</v>
      </c>
      <c r="K850" s="7">
        <v>1</v>
      </c>
      <c r="L850" s="7">
        <v>3</v>
      </c>
      <c r="M850" s="7">
        <v>3</v>
      </c>
      <c r="N850" s="7">
        <v>5</v>
      </c>
    </row>
    <row r="851" spans="1:14" x14ac:dyDescent="0.5">
      <c r="A851" t="s">
        <v>877</v>
      </c>
      <c r="B851" t="s">
        <v>19</v>
      </c>
      <c r="C851" t="s">
        <v>16</v>
      </c>
      <c r="D851" s="1">
        <v>45959</v>
      </c>
      <c r="E851" s="1">
        <v>45960</v>
      </c>
      <c r="F851" s="1">
        <v>45964</v>
      </c>
      <c r="G851" s="1">
        <v>45966</v>
      </c>
      <c r="H851" t="s">
        <v>17</v>
      </c>
      <c r="J851" s="1">
        <v>45989</v>
      </c>
      <c r="K851" s="7">
        <v>1</v>
      </c>
      <c r="L851" s="7">
        <v>4</v>
      </c>
      <c r="M851" s="7">
        <v>2</v>
      </c>
      <c r="N851" s="7">
        <v>6</v>
      </c>
    </row>
    <row r="852" spans="1:14" x14ac:dyDescent="0.5">
      <c r="A852" t="s">
        <v>878</v>
      </c>
      <c r="B852" t="s">
        <v>19</v>
      </c>
      <c r="C852" t="s">
        <v>16</v>
      </c>
      <c r="D852" s="1">
        <v>45951</v>
      </c>
      <c r="E852" s="1">
        <v>45953</v>
      </c>
      <c r="F852" s="1">
        <v>45958</v>
      </c>
      <c r="G852" s="1">
        <v>45960</v>
      </c>
      <c r="H852" t="s">
        <v>17</v>
      </c>
      <c r="J852" s="1">
        <v>45973</v>
      </c>
      <c r="K852" s="7">
        <v>2</v>
      </c>
      <c r="L852" s="7">
        <v>5</v>
      </c>
      <c r="M852" s="7">
        <v>2</v>
      </c>
      <c r="N852" s="7">
        <v>4</v>
      </c>
    </row>
    <row r="853" spans="1:14" x14ac:dyDescent="0.5">
      <c r="A853" t="s">
        <v>879</v>
      </c>
      <c r="B853" t="s">
        <v>21</v>
      </c>
      <c r="C853" t="s">
        <v>30</v>
      </c>
      <c r="D853" s="1">
        <v>45942</v>
      </c>
      <c r="E853" s="1">
        <v>45946</v>
      </c>
      <c r="F853" s="1">
        <v>45948</v>
      </c>
      <c r="G853" s="1">
        <v>45950</v>
      </c>
      <c r="H853" t="s">
        <v>17</v>
      </c>
      <c r="J853" s="1">
        <v>45976</v>
      </c>
      <c r="K853" s="7">
        <v>4</v>
      </c>
      <c r="L853" s="7">
        <v>2</v>
      </c>
      <c r="M853" s="7">
        <v>2</v>
      </c>
      <c r="N853" s="7">
        <v>9</v>
      </c>
    </row>
    <row r="854" spans="1:14" x14ac:dyDescent="0.5">
      <c r="A854" t="s">
        <v>880</v>
      </c>
      <c r="B854" t="s">
        <v>19</v>
      </c>
      <c r="C854" t="s">
        <v>22</v>
      </c>
      <c r="D854" s="1">
        <v>45932</v>
      </c>
      <c r="H854" t="s">
        <v>23</v>
      </c>
      <c r="I854" s="2" t="s">
        <v>101</v>
      </c>
    </row>
    <row r="855" spans="1:14" x14ac:dyDescent="0.5">
      <c r="A855" t="s">
        <v>881</v>
      </c>
      <c r="B855" t="s">
        <v>32</v>
      </c>
      <c r="C855" t="s">
        <v>16</v>
      </c>
      <c r="D855" s="1">
        <v>45943</v>
      </c>
      <c r="E855" s="1">
        <v>45947</v>
      </c>
      <c r="F855" s="1">
        <v>45950</v>
      </c>
      <c r="G855" s="1">
        <v>45953</v>
      </c>
      <c r="H855" t="s">
        <v>23</v>
      </c>
      <c r="I855" s="2" t="s">
        <v>24</v>
      </c>
      <c r="K855" s="7">
        <v>4</v>
      </c>
      <c r="L855" s="7">
        <v>3</v>
      </c>
      <c r="M855" s="7">
        <v>3</v>
      </c>
    </row>
    <row r="856" spans="1:14" x14ac:dyDescent="0.5">
      <c r="A856" t="s">
        <v>882</v>
      </c>
      <c r="B856" t="s">
        <v>19</v>
      </c>
      <c r="C856" t="s">
        <v>16</v>
      </c>
      <c r="D856" s="1">
        <v>45939</v>
      </c>
      <c r="E856" s="1">
        <v>45943</v>
      </c>
      <c r="F856" s="1">
        <v>45946</v>
      </c>
      <c r="G856" s="1">
        <v>45949</v>
      </c>
      <c r="H856" t="s">
        <v>17</v>
      </c>
      <c r="J856" s="1">
        <v>45967</v>
      </c>
      <c r="K856" s="7">
        <v>4</v>
      </c>
      <c r="L856" s="7">
        <v>3</v>
      </c>
      <c r="M856" s="7">
        <v>3</v>
      </c>
      <c r="N856" s="7">
        <v>2</v>
      </c>
    </row>
    <row r="857" spans="1:14" x14ac:dyDescent="0.5">
      <c r="A857" t="s">
        <v>883</v>
      </c>
      <c r="B857" t="s">
        <v>19</v>
      </c>
      <c r="C857" t="s">
        <v>30</v>
      </c>
      <c r="D857" s="1">
        <v>45937</v>
      </c>
      <c r="E857" s="1">
        <v>45941</v>
      </c>
      <c r="F857" s="1">
        <v>45946</v>
      </c>
      <c r="G857" s="1">
        <v>45949</v>
      </c>
      <c r="H857" t="s">
        <v>17</v>
      </c>
      <c r="J857" s="1">
        <v>45978</v>
      </c>
      <c r="K857" s="7">
        <v>4</v>
      </c>
      <c r="L857" s="7">
        <v>5</v>
      </c>
      <c r="M857" s="7">
        <v>3</v>
      </c>
      <c r="N857" s="7">
        <v>7</v>
      </c>
    </row>
    <row r="858" spans="1:14" x14ac:dyDescent="0.5">
      <c r="A858" t="s">
        <v>884</v>
      </c>
      <c r="B858" t="s">
        <v>15</v>
      </c>
      <c r="C858" t="s">
        <v>30</v>
      </c>
      <c r="D858" s="1">
        <v>45961</v>
      </c>
      <c r="E858" s="1">
        <v>45963</v>
      </c>
      <c r="F858" s="1">
        <v>45965</v>
      </c>
      <c r="G858" s="1">
        <v>45970</v>
      </c>
      <c r="H858" t="s">
        <v>17</v>
      </c>
      <c r="J858" s="1">
        <v>45999</v>
      </c>
      <c r="K858" s="7">
        <v>2</v>
      </c>
      <c r="L858" s="7">
        <v>2</v>
      </c>
      <c r="M858" s="7">
        <v>5</v>
      </c>
      <c r="N858" s="7">
        <v>1</v>
      </c>
    </row>
    <row r="859" spans="1:14" x14ac:dyDescent="0.5">
      <c r="A859" t="s">
        <v>885</v>
      </c>
      <c r="B859" t="s">
        <v>15</v>
      </c>
      <c r="C859" t="s">
        <v>16</v>
      </c>
      <c r="D859" s="1">
        <v>45934</v>
      </c>
      <c r="E859" s="1">
        <v>45937</v>
      </c>
      <c r="F859" s="1">
        <v>45941</v>
      </c>
      <c r="G859" s="1">
        <v>45945</v>
      </c>
      <c r="H859" t="s">
        <v>17</v>
      </c>
      <c r="J859" s="1">
        <v>45959</v>
      </c>
      <c r="K859" s="7">
        <v>3</v>
      </c>
      <c r="L859" s="7">
        <v>4</v>
      </c>
      <c r="M859" s="7">
        <v>4</v>
      </c>
      <c r="N859" s="7">
        <v>3</v>
      </c>
    </row>
    <row r="860" spans="1:14" x14ac:dyDescent="0.5">
      <c r="A860" t="s">
        <v>886</v>
      </c>
      <c r="B860" t="s">
        <v>19</v>
      </c>
      <c r="C860" t="s">
        <v>16</v>
      </c>
      <c r="D860" s="1">
        <v>45961</v>
      </c>
      <c r="E860" s="1">
        <v>45966</v>
      </c>
      <c r="F860" s="1">
        <v>45969</v>
      </c>
      <c r="G860" s="1">
        <v>45976</v>
      </c>
      <c r="H860" t="s">
        <v>17</v>
      </c>
      <c r="J860" s="1">
        <v>45999</v>
      </c>
      <c r="K860" s="7">
        <v>5</v>
      </c>
      <c r="L860" s="7">
        <v>3</v>
      </c>
      <c r="M860" s="7">
        <v>7</v>
      </c>
      <c r="N860" s="7">
        <v>7</v>
      </c>
    </row>
    <row r="861" spans="1:14" x14ac:dyDescent="0.5">
      <c r="A861" t="s">
        <v>887</v>
      </c>
      <c r="B861" t="s">
        <v>21</v>
      </c>
      <c r="C861" t="s">
        <v>30</v>
      </c>
      <c r="D861" s="1">
        <v>45958</v>
      </c>
      <c r="E861" s="1">
        <v>45960</v>
      </c>
      <c r="F861" s="1">
        <v>45962</v>
      </c>
      <c r="G861" s="1">
        <v>45969</v>
      </c>
      <c r="H861" t="s">
        <v>17</v>
      </c>
      <c r="J861" s="1">
        <v>45982</v>
      </c>
      <c r="K861" s="7">
        <v>2</v>
      </c>
      <c r="L861" s="7">
        <v>2</v>
      </c>
      <c r="M861" s="7">
        <v>7</v>
      </c>
      <c r="N861" s="7">
        <v>4</v>
      </c>
    </row>
    <row r="862" spans="1:14" x14ac:dyDescent="0.5">
      <c r="A862" t="s">
        <v>888</v>
      </c>
      <c r="B862" t="s">
        <v>15</v>
      </c>
      <c r="C862" t="s">
        <v>16</v>
      </c>
      <c r="D862" s="1">
        <v>45957</v>
      </c>
      <c r="E862" s="1">
        <v>45960</v>
      </c>
      <c r="F862" s="1">
        <v>45964</v>
      </c>
      <c r="G862" s="1">
        <v>45971</v>
      </c>
      <c r="H862" t="s">
        <v>17</v>
      </c>
      <c r="J862" s="1">
        <v>45997</v>
      </c>
      <c r="K862" s="7">
        <v>3</v>
      </c>
      <c r="L862" s="7">
        <v>4</v>
      </c>
      <c r="M862" s="7">
        <v>7</v>
      </c>
      <c r="N862" s="7">
        <v>2</v>
      </c>
    </row>
    <row r="863" spans="1:14" x14ac:dyDescent="0.5">
      <c r="A863" t="s">
        <v>889</v>
      </c>
      <c r="B863" t="s">
        <v>21</v>
      </c>
      <c r="C863" t="s">
        <v>16</v>
      </c>
      <c r="D863" s="1">
        <v>45945</v>
      </c>
      <c r="E863" s="1">
        <v>45948</v>
      </c>
      <c r="F863" s="1">
        <v>45951</v>
      </c>
      <c r="G863" s="1">
        <v>45953</v>
      </c>
      <c r="H863" t="s">
        <v>17</v>
      </c>
      <c r="J863" s="1">
        <v>45982</v>
      </c>
      <c r="K863" s="7">
        <v>3</v>
      </c>
      <c r="L863" s="7">
        <v>3</v>
      </c>
      <c r="M863" s="7">
        <v>2</v>
      </c>
      <c r="N863" s="7">
        <v>5</v>
      </c>
    </row>
    <row r="864" spans="1:14" ht="36" x14ac:dyDescent="0.5">
      <c r="A864" t="s">
        <v>890</v>
      </c>
      <c r="B864" t="s">
        <v>19</v>
      </c>
      <c r="C864" t="s">
        <v>30</v>
      </c>
      <c r="D864" s="1">
        <v>45933</v>
      </c>
      <c r="E864" s="1">
        <v>45936</v>
      </c>
      <c r="F864" s="1">
        <v>45939</v>
      </c>
      <c r="G864" s="1">
        <v>45945</v>
      </c>
      <c r="H864" t="s">
        <v>23</v>
      </c>
      <c r="I864" s="2" t="s">
        <v>63</v>
      </c>
      <c r="K864" s="7">
        <v>3</v>
      </c>
      <c r="L864" s="7">
        <v>3</v>
      </c>
      <c r="M864" s="7">
        <v>6</v>
      </c>
    </row>
    <row r="865" spans="1:14" x14ac:dyDescent="0.5">
      <c r="A865" t="s">
        <v>891</v>
      </c>
      <c r="B865" t="s">
        <v>19</v>
      </c>
      <c r="C865" t="s">
        <v>16</v>
      </c>
      <c r="D865" s="1">
        <v>45952</v>
      </c>
      <c r="E865" s="1">
        <v>45956</v>
      </c>
      <c r="F865" s="1">
        <v>45960</v>
      </c>
      <c r="G865" s="1">
        <v>45966</v>
      </c>
      <c r="H865" t="s">
        <v>17</v>
      </c>
      <c r="J865" s="1">
        <v>45979</v>
      </c>
      <c r="K865" s="7">
        <v>4</v>
      </c>
      <c r="L865" s="7">
        <v>4</v>
      </c>
      <c r="M865" s="7">
        <v>6</v>
      </c>
      <c r="N865" s="7">
        <v>9</v>
      </c>
    </row>
    <row r="866" spans="1:14" x14ac:dyDescent="0.5">
      <c r="A866" t="s">
        <v>892</v>
      </c>
      <c r="B866" t="s">
        <v>32</v>
      </c>
      <c r="C866" t="s">
        <v>30</v>
      </c>
      <c r="D866" s="1">
        <v>45937</v>
      </c>
      <c r="E866" s="1">
        <v>45939</v>
      </c>
      <c r="F866" s="1">
        <v>45944</v>
      </c>
      <c r="G866" s="1">
        <v>45948</v>
      </c>
      <c r="H866" t="s">
        <v>17</v>
      </c>
      <c r="J866" s="1">
        <v>45967</v>
      </c>
      <c r="K866" s="7">
        <v>2</v>
      </c>
      <c r="L866" s="7">
        <v>5</v>
      </c>
      <c r="M866" s="7">
        <v>4</v>
      </c>
      <c r="N866" s="7">
        <v>4</v>
      </c>
    </row>
    <row r="867" spans="1:14" ht="36" x14ac:dyDescent="0.5">
      <c r="A867" t="s">
        <v>893</v>
      </c>
      <c r="B867" t="s">
        <v>15</v>
      </c>
      <c r="C867" t="s">
        <v>22</v>
      </c>
      <c r="D867" s="1">
        <v>45951</v>
      </c>
      <c r="H867" t="s">
        <v>23</v>
      </c>
      <c r="I867" s="2" t="s">
        <v>26</v>
      </c>
    </row>
    <row r="868" spans="1:14" x14ac:dyDescent="0.5">
      <c r="A868" t="s">
        <v>894</v>
      </c>
      <c r="B868" t="s">
        <v>19</v>
      </c>
      <c r="C868" t="s">
        <v>16</v>
      </c>
      <c r="D868" s="1">
        <v>45951</v>
      </c>
      <c r="E868" s="1">
        <v>45954</v>
      </c>
      <c r="F868" s="1">
        <v>45956</v>
      </c>
      <c r="G868" s="1">
        <v>45958</v>
      </c>
      <c r="H868" t="s">
        <v>17</v>
      </c>
      <c r="J868" s="1">
        <v>45971</v>
      </c>
      <c r="K868" s="7">
        <v>3</v>
      </c>
      <c r="L868" s="7">
        <v>2</v>
      </c>
      <c r="M868" s="7">
        <v>2</v>
      </c>
      <c r="N868" s="7">
        <v>9</v>
      </c>
    </row>
    <row r="869" spans="1:14" x14ac:dyDescent="0.5">
      <c r="A869" t="s">
        <v>895</v>
      </c>
      <c r="B869" t="s">
        <v>32</v>
      </c>
      <c r="C869" t="s">
        <v>30</v>
      </c>
      <c r="D869" s="1">
        <v>45950</v>
      </c>
      <c r="E869" s="1">
        <v>45955</v>
      </c>
      <c r="F869" s="1">
        <v>45958</v>
      </c>
      <c r="G869" s="1">
        <v>45960</v>
      </c>
      <c r="H869" t="s">
        <v>17</v>
      </c>
      <c r="J869" s="1">
        <v>45973</v>
      </c>
      <c r="K869" s="7">
        <v>5</v>
      </c>
      <c r="L869" s="7">
        <v>3</v>
      </c>
      <c r="M869" s="7">
        <v>2</v>
      </c>
      <c r="N869" s="7">
        <v>9</v>
      </c>
    </row>
    <row r="870" spans="1:14" x14ac:dyDescent="0.5">
      <c r="A870" t="s">
        <v>896</v>
      </c>
      <c r="B870" t="s">
        <v>15</v>
      </c>
      <c r="C870" t="s">
        <v>16</v>
      </c>
      <c r="D870" s="1">
        <v>45931</v>
      </c>
      <c r="E870" s="1">
        <v>45936</v>
      </c>
      <c r="F870" s="1">
        <v>45940</v>
      </c>
      <c r="G870" s="1">
        <v>45942</v>
      </c>
      <c r="H870" t="s">
        <v>17</v>
      </c>
      <c r="J870" s="1">
        <v>45967</v>
      </c>
      <c r="K870" s="7">
        <v>5</v>
      </c>
      <c r="L870" s="7">
        <v>4</v>
      </c>
      <c r="M870" s="7">
        <v>2</v>
      </c>
      <c r="N870" s="7">
        <v>5</v>
      </c>
    </row>
    <row r="871" spans="1:14" x14ac:dyDescent="0.5">
      <c r="A871" t="s">
        <v>897</v>
      </c>
      <c r="B871" t="s">
        <v>19</v>
      </c>
      <c r="C871" t="s">
        <v>16</v>
      </c>
      <c r="D871" s="1">
        <v>45932</v>
      </c>
      <c r="E871" s="1">
        <v>45933</v>
      </c>
      <c r="F871" s="1">
        <v>45936</v>
      </c>
      <c r="G871" s="1">
        <v>45939</v>
      </c>
      <c r="H871" t="s">
        <v>17</v>
      </c>
      <c r="J871" s="1">
        <v>45955</v>
      </c>
      <c r="K871" s="7">
        <v>1</v>
      </c>
      <c r="L871" s="7">
        <v>3</v>
      </c>
      <c r="M871" s="7">
        <v>3</v>
      </c>
      <c r="N871" s="7">
        <v>1</v>
      </c>
    </row>
    <row r="872" spans="1:14" x14ac:dyDescent="0.5">
      <c r="A872" t="s">
        <v>898</v>
      </c>
      <c r="B872" t="s">
        <v>19</v>
      </c>
      <c r="C872" t="s">
        <v>16</v>
      </c>
      <c r="D872" s="1">
        <v>45956</v>
      </c>
      <c r="E872" s="1">
        <v>45959</v>
      </c>
      <c r="F872" s="1">
        <v>45963</v>
      </c>
      <c r="G872" s="1">
        <v>45970</v>
      </c>
      <c r="H872" t="s">
        <v>17</v>
      </c>
      <c r="J872" s="1">
        <v>45999</v>
      </c>
      <c r="K872" s="7">
        <v>3</v>
      </c>
      <c r="L872" s="7">
        <v>4</v>
      </c>
      <c r="M872" s="7">
        <v>7</v>
      </c>
      <c r="N872" s="7">
        <v>8</v>
      </c>
    </row>
    <row r="873" spans="1:14" x14ac:dyDescent="0.5">
      <c r="A873" t="s">
        <v>899</v>
      </c>
      <c r="B873" t="s">
        <v>15</v>
      </c>
      <c r="C873" t="s">
        <v>16</v>
      </c>
      <c r="D873" s="1">
        <v>45941</v>
      </c>
      <c r="E873" s="1">
        <v>45943</v>
      </c>
      <c r="F873" s="1">
        <v>45946</v>
      </c>
      <c r="G873" s="1">
        <v>45951</v>
      </c>
      <c r="H873" t="s">
        <v>17</v>
      </c>
      <c r="J873" s="1">
        <v>45967</v>
      </c>
      <c r="K873" s="7">
        <v>2</v>
      </c>
      <c r="L873" s="7">
        <v>3</v>
      </c>
      <c r="M873" s="7">
        <v>5</v>
      </c>
      <c r="N873" s="7">
        <v>7</v>
      </c>
    </row>
    <row r="874" spans="1:14" x14ac:dyDescent="0.5">
      <c r="A874" t="s">
        <v>900</v>
      </c>
      <c r="B874" t="s">
        <v>15</v>
      </c>
      <c r="C874" t="s">
        <v>16</v>
      </c>
      <c r="D874" s="1">
        <v>45938</v>
      </c>
      <c r="E874" s="1">
        <v>45942</v>
      </c>
      <c r="F874" s="1">
        <v>45943</v>
      </c>
      <c r="G874" s="1">
        <v>45946</v>
      </c>
      <c r="H874" t="s">
        <v>17</v>
      </c>
      <c r="J874" s="1">
        <v>45964</v>
      </c>
      <c r="K874" s="7">
        <v>4</v>
      </c>
      <c r="L874" s="7">
        <v>1</v>
      </c>
      <c r="M874" s="7">
        <v>3</v>
      </c>
      <c r="N874" s="7">
        <v>5</v>
      </c>
    </row>
    <row r="875" spans="1:14" x14ac:dyDescent="0.5">
      <c r="A875" t="s">
        <v>901</v>
      </c>
      <c r="B875" t="s">
        <v>15</v>
      </c>
      <c r="C875" t="s">
        <v>30</v>
      </c>
      <c r="D875" s="1">
        <v>45935</v>
      </c>
      <c r="E875" s="1">
        <v>45936</v>
      </c>
      <c r="F875" s="1">
        <v>45941</v>
      </c>
      <c r="G875" s="1">
        <v>45943</v>
      </c>
      <c r="H875" t="s">
        <v>17</v>
      </c>
      <c r="J875" s="1">
        <v>45969</v>
      </c>
      <c r="K875" s="7">
        <v>1</v>
      </c>
      <c r="L875" s="7">
        <v>5</v>
      </c>
      <c r="M875" s="7">
        <v>2</v>
      </c>
      <c r="N875" s="7">
        <v>4</v>
      </c>
    </row>
    <row r="876" spans="1:14" x14ac:dyDescent="0.5">
      <c r="A876" t="s">
        <v>902</v>
      </c>
      <c r="B876" t="s">
        <v>19</v>
      </c>
      <c r="C876" t="s">
        <v>30</v>
      </c>
      <c r="D876" s="1">
        <v>45956</v>
      </c>
      <c r="E876" s="1">
        <v>45959</v>
      </c>
      <c r="F876" s="1">
        <v>45961</v>
      </c>
      <c r="G876" s="1">
        <v>45965</v>
      </c>
      <c r="H876" t="s">
        <v>17</v>
      </c>
      <c r="J876" s="1">
        <v>45981</v>
      </c>
      <c r="K876" s="7">
        <v>3</v>
      </c>
      <c r="L876" s="7">
        <v>2</v>
      </c>
      <c r="M876" s="7">
        <v>4</v>
      </c>
      <c r="N876" s="7">
        <v>3</v>
      </c>
    </row>
    <row r="877" spans="1:14" x14ac:dyDescent="0.5">
      <c r="A877" t="s">
        <v>903</v>
      </c>
      <c r="B877" t="s">
        <v>19</v>
      </c>
      <c r="C877" t="s">
        <v>30</v>
      </c>
      <c r="D877" s="1">
        <v>45949</v>
      </c>
      <c r="E877" s="1">
        <v>45953</v>
      </c>
      <c r="F877" s="1">
        <v>45958</v>
      </c>
      <c r="G877" s="1">
        <v>45960</v>
      </c>
      <c r="H877" t="s">
        <v>17</v>
      </c>
      <c r="J877" s="1">
        <v>45981</v>
      </c>
      <c r="K877" s="7">
        <v>4</v>
      </c>
      <c r="L877" s="7">
        <v>5</v>
      </c>
      <c r="M877" s="7">
        <v>2</v>
      </c>
      <c r="N877" s="7">
        <v>6</v>
      </c>
    </row>
    <row r="878" spans="1:14" x14ac:dyDescent="0.5">
      <c r="A878" t="s">
        <v>904</v>
      </c>
      <c r="B878" t="s">
        <v>32</v>
      </c>
      <c r="C878" t="s">
        <v>16</v>
      </c>
      <c r="D878" s="1">
        <v>45937</v>
      </c>
      <c r="E878" s="1">
        <v>45939</v>
      </c>
      <c r="F878" s="1">
        <v>45944</v>
      </c>
      <c r="G878" s="1">
        <v>45946</v>
      </c>
      <c r="H878" t="s">
        <v>17</v>
      </c>
      <c r="J878" s="1">
        <v>45969</v>
      </c>
      <c r="K878" s="7">
        <v>2</v>
      </c>
      <c r="L878" s="7">
        <v>5</v>
      </c>
      <c r="M878" s="7">
        <v>2</v>
      </c>
      <c r="N878" s="7">
        <v>2</v>
      </c>
    </row>
    <row r="879" spans="1:14" ht="36" x14ac:dyDescent="0.5">
      <c r="A879" t="s">
        <v>905</v>
      </c>
      <c r="B879" t="s">
        <v>21</v>
      </c>
      <c r="C879" t="s">
        <v>22</v>
      </c>
      <c r="D879" s="1">
        <v>45933</v>
      </c>
      <c r="H879" t="s">
        <v>23</v>
      </c>
      <c r="I879" s="2" t="s">
        <v>63</v>
      </c>
    </row>
    <row r="880" spans="1:14" x14ac:dyDescent="0.5">
      <c r="A880" t="s">
        <v>906</v>
      </c>
      <c r="B880" t="s">
        <v>15</v>
      </c>
      <c r="C880" t="s">
        <v>16</v>
      </c>
      <c r="D880" s="1">
        <v>45957</v>
      </c>
      <c r="E880" s="1">
        <v>45959</v>
      </c>
      <c r="F880" s="1">
        <v>45961</v>
      </c>
      <c r="G880" s="1">
        <v>45966</v>
      </c>
      <c r="H880" t="s">
        <v>17</v>
      </c>
      <c r="J880" s="1">
        <v>45985</v>
      </c>
      <c r="K880" s="7">
        <v>2</v>
      </c>
      <c r="L880" s="7">
        <v>2</v>
      </c>
      <c r="M880" s="7">
        <v>5</v>
      </c>
      <c r="N880" s="7">
        <v>4</v>
      </c>
    </row>
    <row r="881" spans="1:14" x14ac:dyDescent="0.5">
      <c r="A881" t="s">
        <v>907</v>
      </c>
      <c r="B881" t="s">
        <v>19</v>
      </c>
      <c r="C881" t="s">
        <v>30</v>
      </c>
      <c r="D881" s="1">
        <v>45955</v>
      </c>
      <c r="E881" s="1">
        <v>45956</v>
      </c>
      <c r="F881" s="1">
        <v>45961</v>
      </c>
      <c r="G881" s="1">
        <v>45963</v>
      </c>
      <c r="H881" t="s">
        <v>17</v>
      </c>
      <c r="J881" s="1">
        <v>45978</v>
      </c>
      <c r="K881" s="7">
        <v>1</v>
      </c>
      <c r="L881" s="7">
        <v>5</v>
      </c>
      <c r="M881" s="7">
        <v>2</v>
      </c>
      <c r="N881" s="7">
        <v>4</v>
      </c>
    </row>
    <row r="882" spans="1:14" x14ac:dyDescent="0.5">
      <c r="A882" t="s">
        <v>908</v>
      </c>
      <c r="B882" t="s">
        <v>19</v>
      </c>
      <c r="C882" t="s">
        <v>16</v>
      </c>
      <c r="D882" s="1">
        <v>45948</v>
      </c>
      <c r="E882" s="1">
        <v>45949</v>
      </c>
      <c r="F882" s="1">
        <v>45950</v>
      </c>
      <c r="G882" s="1">
        <v>45953</v>
      </c>
      <c r="H882" t="s">
        <v>17</v>
      </c>
      <c r="J882" s="1">
        <v>45964</v>
      </c>
      <c r="K882" s="7">
        <v>1</v>
      </c>
      <c r="L882" s="7">
        <v>1</v>
      </c>
      <c r="M882" s="7">
        <v>3</v>
      </c>
      <c r="N882" s="7">
        <v>2</v>
      </c>
    </row>
    <row r="883" spans="1:14" ht="36" x14ac:dyDescent="0.5">
      <c r="A883" t="s">
        <v>909</v>
      </c>
      <c r="B883" t="s">
        <v>15</v>
      </c>
      <c r="C883" t="s">
        <v>22</v>
      </c>
      <c r="D883" s="1">
        <v>45937</v>
      </c>
      <c r="H883" t="s">
        <v>23</v>
      </c>
      <c r="I883" s="2" t="s">
        <v>63</v>
      </c>
    </row>
    <row r="884" spans="1:14" x14ac:dyDescent="0.5">
      <c r="A884" t="s">
        <v>910</v>
      </c>
      <c r="B884" t="s">
        <v>21</v>
      </c>
      <c r="C884" t="s">
        <v>16</v>
      </c>
      <c r="D884" s="1">
        <v>45949</v>
      </c>
      <c r="E884" s="1">
        <v>45952</v>
      </c>
      <c r="F884" s="1">
        <v>45956</v>
      </c>
      <c r="G884" s="1">
        <v>45962</v>
      </c>
      <c r="H884" t="s">
        <v>17</v>
      </c>
      <c r="J884" s="1">
        <v>45989</v>
      </c>
      <c r="K884" s="7">
        <v>3</v>
      </c>
      <c r="L884" s="7">
        <v>4</v>
      </c>
      <c r="M884" s="7">
        <v>6</v>
      </c>
      <c r="N884" s="7">
        <v>4</v>
      </c>
    </row>
    <row r="885" spans="1:14" ht="36" x14ac:dyDescent="0.5">
      <c r="A885" t="s">
        <v>911</v>
      </c>
      <c r="B885" t="s">
        <v>15</v>
      </c>
      <c r="C885" t="s">
        <v>22</v>
      </c>
      <c r="D885" s="1">
        <v>45937</v>
      </c>
      <c r="H885" t="s">
        <v>23</v>
      </c>
      <c r="I885" s="2" t="s">
        <v>26</v>
      </c>
    </row>
    <row r="886" spans="1:14" x14ac:dyDescent="0.5">
      <c r="A886" t="s">
        <v>912</v>
      </c>
      <c r="B886" t="s">
        <v>21</v>
      </c>
      <c r="C886" t="s">
        <v>30</v>
      </c>
      <c r="D886" s="1">
        <v>45957</v>
      </c>
      <c r="E886" s="1">
        <v>45961</v>
      </c>
      <c r="F886" s="1">
        <v>45963</v>
      </c>
      <c r="G886" s="1">
        <v>45968</v>
      </c>
      <c r="H886" t="s">
        <v>17</v>
      </c>
      <c r="J886" s="1">
        <v>45993</v>
      </c>
      <c r="K886" s="7">
        <v>4</v>
      </c>
      <c r="L886" s="7">
        <v>2</v>
      </c>
      <c r="M886" s="7">
        <v>5</v>
      </c>
      <c r="N886" s="7">
        <v>7</v>
      </c>
    </row>
    <row r="887" spans="1:14" x14ac:dyDescent="0.5">
      <c r="A887" t="s">
        <v>913</v>
      </c>
      <c r="B887" t="s">
        <v>19</v>
      </c>
      <c r="C887" t="s">
        <v>30</v>
      </c>
      <c r="D887" s="1">
        <v>45958</v>
      </c>
      <c r="E887" s="1">
        <v>45963</v>
      </c>
      <c r="F887" s="1">
        <v>45967</v>
      </c>
      <c r="G887" s="1">
        <v>45974</v>
      </c>
      <c r="H887" t="s">
        <v>17</v>
      </c>
      <c r="J887" s="1">
        <v>45990</v>
      </c>
      <c r="K887" s="7">
        <v>5</v>
      </c>
      <c r="L887" s="7">
        <v>4</v>
      </c>
      <c r="M887" s="7">
        <v>7</v>
      </c>
      <c r="N887" s="7">
        <v>3</v>
      </c>
    </row>
    <row r="888" spans="1:14" ht="36" x14ac:dyDescent="0.5">
      <c r="A888" t="s">
        <v>914</v>
      </c>
      <c r="B888" t="s">
        <v>21</v>
      </c>
      <c r="C888" t="s">
        <v>22</v>
      </c>
      <c r="D888" s="1">
        <v>45938</v>
      </c>
      <c r="H888" t="s">
        <v>23</v>
      </c>
      <c r="I888" s="2" t="s">
        <v>33</v>
      </c>
    </row>
    <row r="889" spans="1:14" x14ac:dyDescent="0.5">
      <c r="A889" t="s">
        <v>915</v>
      </c>
      <c r="B889" t="s">
        <v>32</v>
      </c>
      <c r="C889" t="s">
        <v>16</v>
      </c>
      <c r="D889" s="1">
        <v>45941</v>
      </c>
      <c r="E889" s="1">
        <v>45945</v>
      </c>
      <c r="F889" s="1">
        <v>45948</v>
      </c>
      <c r="G889" s="1">
        <v>45953</v>
      </c>
      <c r="H889" t="s">
        <v>17</v>
      </c>
      <c r="J889" s="1">
        <v>45978</v>
      </c>
      <c r="K889" s="7">
        <v>4</v>
      </c>
      <c r="L889" s="7">
        <v>3</v>
      </c>
      <c r="M889" s="7">
        <v>5</v>
      </c>
      <c r="N889" s="7">
        <v>7</v>
      </c>
    </row>
    <row r="890" spans="1:14" x14ac:dyDescent="0.5">
      <c r="A890" t="s">
        <v>916</v>
      </c>
      <c r="B890" t="s">
        <v>19</v>
      </c>
      <c r="C890" t="s">
        <v>16</v>
      </c>
      <c r="D890" s="1">
        <v>45955</v>
      </c>
      <c r="E890" s="1">
        <v>45957</v>
      </c>
      <c r="F890" s="1">
        <v>45958</v>
      </c>
      <c r="G890" s="1">
        <v>45963</v>
      </c>
      <c r="H890" t="s">
        <v>17</v>
      </c>
      <c r="J890" s="1">
        <v>45983</v>
      </c>
      <c r="K890" s="7">
        <v>2</v>
      </c>
      <c r="L890" s="7">
        <v>1</v>
      </c>
      <c r="M890" s="7">
        <v>5</v>
      </c>
      <c r="N890" s="7">
        <v>9</v>
      </c>
    </row>
    <row r="891" spans="1:14" x14ac:dyDescent="0.5">
      <c r="A891" t="s">
        <v>917</v>
      </c>
      <c r="B891" t="s">
        <v>32</v>
      </c>
      <c r="C891" t="s">
        <v>16</v>
      </c>
      <c r="D891" s="1">
        <v>45935</v>
      </c>
      <c r="E891" s="1">
        <v>45937</v>
      </c>
      <c r="F891" s="1">
        <v>45941</v>
      </c>
      <c r="G891" s="1">
        <v>45943</v>
      </c>
      <c r="H891" t="s">
        <v>17</v>
      </c>
      <c r="J891" s="1">
        <v>45960</v>
      </c>
      <c r="K891" s="7">
        <v>2</v>
      </c>
      <c r="L891" s="7">
        <v>4</v>
      </c>
      <c r="M891" s="7">
        <v>2</v>
      </c>
      <c r="N891" s="7">
        <v>4</v>
      </c>
    </row>
    <row r="892" spans="1:14" ht="36" x14ac:dyDescent="0.5">
      <c r="A892" t="s">
        <v>918</v>
      </c>
      <c r="B892" t="s">
        <v>15</v>
      </c>
      <c r="C892" t="s">
        <v>22</v>
      </c>
      <c r="D892" s="1">
        <v>45956</v>
      </c>
      <c r="H892" t="s">
        <v>23</v>
      </c>
      <c r="I892" s="2" t="s">
        <v>33</v>
      </c>
    </row>
    <row r="893" spans="1:14" x14ac:dyDescent="0.5">
      <c r="A893" t="s">
        <v>919</v>
      </c>
      <c r="B893" t="s">
        <v>15</v>
      </c>
      <c r="C893" t="s">
        <v>16</v>
      </c>
      <c r="D893" s="1">
        <v>45959</v>
      </c>
      <c r="E893" s="1">
        <v>45962</v>
      </c>
      <c r="F893" s="1">
        <v>45966</v>
      </c>
      <c r="G893" s="1">
        <v>45971</v>
      </c>
      <c r="H893" t="s">
        <v>17</v>
      </c>
      <c r="J893" s="1">
        <v>45981</v>
      </c>
      <c r="K893" s="7">
        <v>3</v>
      </c>
      <c r="L893" s="7">
        <v>4</v>
      </c>
      <c r="M893" s="7">
        <v>5</v>
      </c>
      <c r="N893" s="7">
        <v>7</v>
      </c>
    </row>
    <row r="894" spans="1:14" x14ac:dyDescent="0.5">
      <c r="A894" t="s">
        <v>920</v>
      </c>
      <c r="B894" t="s">
        <v>15</v>
      </c>
      <c r="C894" t="s">
        <v>16</v>
      </c>
      <c r="D894" s="1">
        <v>45950</v>
      </c>
      <c r="E894" s="1">
        <v>45955</v>
      </c>
      <c r="F894" s="1">
        <v>45957</v>
      </c>
      <c r="G894" s="1">
        <v>45964</v>
      </c>
      <c r="H894" t="s">
        <v>17</v>
      </c>
      <c r="J894" s="1">
        <v>45974</v>
      </c>
      <c r="K894" s="7">
        <v>5</v>
      </c>
      <c r="L894" s="7">
        <v>2</v>
      </c>
      <c r="M894" s="7">
        <v>7</v>
      </c>
      <c r="N894" s="7">
        <v>7</v>
      </c>
    </row>
    <row r="895" spans="1:14" x14ac:dyDescent="0.5">
      <c r="A895" t="s">
        <v>921</v>
      </c>
      <c r="B895" t="s">
        <v>21</v>
      </c>
      <c r="C895" t="s">
        <v>16</v>
      </c>
      <c r="D895" s="1">
        <v>45931</v>
      </c>
      <c r="E895" s="1">
        <v>45934</v>
      </c>
      <c r="F895" s="1">
        <v>45937</v>
      </c>
      <c r="G895" s="1">
        <v>45942</v>
      </c>
      <c r="H895" t="s">
        <v>17</v>
      </c>
      <c r="J895" s="1">
        <v>45954</v>
      </c>
      <c r="K895" s="7">
        <v>3</v>
      </c>
      <c r="L895" s="7">
        <v>3</v>
      </c>
      <c r="M895" s="7">
        <v>5</v>
      </c>
      <c r="N895" s="7">
        <v>7</v>
      </c>
    </row>
    <row r="896" spans="1:14" x14ac:dyDescent="0.5">
      <c r="A896" t="s">
        <v>922</v>
      </c>
      <c r="B896" t="s">
        <v>19</v>
      </c>
      <c r="C896" t="s">
        <v>16</v>
      </c>
      <c r="D896" s="1">
        <v>45939</v>
      </c>
      <c r="E896" s="1">
        <v>45941</v>
      </c>
      <c r="F896" s="1">
        <v>45943</v>
      </c>
      <c r="G896" s="1">
        <v>45946</v>
      </c>
      <c r="H896" t="s">
        <v>17</v>
      </c>
      <c r="J896" s="1">
        <v>45959</v>
      </c>
      <c r="K896" s="7">
        <v>2</v>
      </c>
      <c r="L896" s="7">
        <v>2</v>
      </c>
      <c r="M896" s="7">
        <v>3</v>
      </c>
      <c r="N896" s="7">
        <v>1</v>
      </c>
    </row>
    <row r="897" spans="1:14" x14ac:dyDescent="0.5">
      <c r="A897" t="s">
        <v>923</v>
      </c>
      <c r="B897" t="s">
        <v>15</v>
      </c>
      <c r="C897" t="s">
        <v>16</v>
      </c>
      <c r="D897" s="1">
        <v>45958</v>
      </c>
      <c r="E897" s="1">
        <v>45960</v>
      </c>
      <c r="F897" s="1">
        <v>45963</v>
      </c>
      <c r="G897" s="1">
        <v>45967</v>
      </c>
      <c r="H897" t="s">
        <v>23</v>
      </c>
      <c r="I897" s="2" t="s">
        <v>101</v>
      </c>
      <c r="K897" s="7">
        <v>2</v>
      </c>
      <c r="L897" s="7">
        <v>3</v>
      </c>
      <c r="M897" s="7">
        <v>4</v>
      </c>
    </row>
    <row r="898" spans="1:14" x14ac:dyDescent="0.5">
      <c r="A898" t="s">
        <v>924</v>
      </c>
      <c r="B898" t="s">
        <v>15</v>
      </c>
      <c r="C898" t="s">
        <v>22</v>
      </c>
      <c r="D898" s="1">
        <v>45935</v>
      </c>
      <c r="H898" t="s">
        <v>23</v>
      </c>
      <c r="I898" s="2" t="s">
        <v>101</v>
      </c>
    </row>
    <row r="899" spans="1:14" ht="36" x14ac:dyDescent="0.5">
      <c r="A899" t="s">
        <v>925</v>
      </c>
      <c r="B899" t="s">
        <v>19</v>
      </c>
      <c r="C899" t="s">
        <v>22</v>
      </c>
      <c r="D899" s="1">
        <v>45935</v>
      </c>
      <c r="H899" t="s">
        <v>23</v>
      </c>
      <c r="I899" s="2" t="s">
        <v>33</v>
      </c>
    </row>
    <row r="900" spans="1:14" x14ac:dyDescent="0.5">
      <c r="A900" t="s">
        <v>926</v>
      </c>
      <c r="B900" t="s">
        <v>15</v>
      </c>
      <c r="C900" t="s">
        <v>22</v>
      </c>
      <c r="D900" s="1">
        <v>45948</v>
      </c>
      <c r="H900" t="s">
        <v>23</v>
      </c>
      <c r="I900" s="2" t="s">
        <v>24</v>
      </c>
    </row>
    <row r="901" spans="1:14" x14ac:dyDescent="0.5">
      <c r="A901" t="s">
        <v>927</v>
      </c>
      <c r="B901" t="s">
        <v>32</v>
      </c>
      <c r="C901" t="s">
        <v>30</v>
      </c>
      <c r="D901" s="1">
        <v>45939</v>
      </c>
      <c r="E901" s="1">
        <v>45943</v>
      </c>
      <c r="F901" s="1">
        <v>45945</v>
      </c>
      <c r="G901" s="1">
        <v>45948</v>
      </c>
      <c r="H901" t="s">
        <v>17</v>
      </c>
      <c r="J901" s="1">
        <v>45976</v>
      </c>
      <c r="K901" s="7">
        <v>4</v>
      </c>
      <c r="L901" s="7">
        <v>2</v>
      </c>
      <c r="M901" s="7">
        <v>3</v>
      </c>
      <c r="N901" s="7">
        <v>9</v>
      </c>
    </row>
    <row r="902" spans="1:14" x14ac:dyDescent="0.5">
      <c r="A902" t="s">
        <v>928</v>
      </c>
      <c r="B902" t="s">
        <v>19</v>
      </c>
      <c r="C902" t="s">
        <v>16</v>
      </c>
      <c r="D902" s="1">
        <v>45956</v>
      </c>
      <c r="E902" s="1">
        <v>45961</v>
      </c>
      <c r="F902" s="1">
        <v>45965</v>
      </c>
      <c r="G902" s="1">
        <v>45968</v>
      </c>
      <c r="H902" t="s">
        <v>17</v>
      </c>
      <c r="J902" s="1">
        <v>45993</v>
      </c>
      <c r="K902" s="7">
        <v>5</v>
      </c>
      <c r="L902" s="7">
        <v>4</v>
      </c>
      <c r="M902" s="7">
        <v>3</v>
      </c>
      <c r="N902" s="7">
        <v>10</v>
      </c>
    </row>
    <row r="903" spans="1:14" x14ac:dyDescent="0.5">
      <c r="A903" t="s">
        <v>929</v>
      </c>
      <c r="B903" t="s">
        <v>19</v>
      </c>
      <c r="C903" t="s">
        <v>16</v>
      </c>
      <c r="D903" s="1">
        <v>45936</v>
      </c>
      <c r="E903" s="1">
        <v>45940</v>
      </c>
      <c r="F903" s="1">
        <v>45944</v>
      </c>
      <c r="G903" s="1">
        <v>45948</v>
      </c>
      <c r="H903" t="s">
        <v>17</v>
      </c>
      <c r="J903" s="1">
        <v>45962</v>
      </c>
      <c r="K903" s="7">
        <v>4</v>
      </c>
      <c r="L903" s="7">
        <v>4</v>
      </c>
      <c r="M903" s="7">
        <v>4</v>
      </c>
      <c r="N903" s="7">
        <v>0</v>
      </c>
    </row>
    <row r="904" spans="1:14" x14ac:dyDescent="0.5">
      <c r="A904" t="s">
        <v>930</v>
      </c>
      <c r="B904" t="s">
        <v>19</v>
      </c>
      <c r="C904" t="s">
        <v>16</v>
      </c>
      <c r="D904" s="1">
        <v>45934</v>
      </c>
      <c r="E904" s="1">
        <v>45938</v>
      </c>
      <c r="F904" s="1">
        <v>45939</v>
      </c>
      <c r="G904" s="1">
        <v>45943</v>
      </c>
      <c r="H904" t="s">
        <v>17</v>
      </c>
      <c r="J904" s="1">
        <v>45955</v>
      </c>
      <c r="K904" s="7">
        <v>4</v>
      </c>
      <c r="L904" s="7">
        <v>1</v>
      </c>
      <c r="M904" s="7">
        <v>4</v>
      </c>
      <c r="N904" s="7">
        <v>5</v>
      </c>
    </row>
    <row r="905" spans="1:14" x14ac:dyDescent="0.5">
      <c r="A905" t="s">
        <v>931</v>
      </c>
      <c r="B905" t="s">
        <v>32</v>
      </c>
      <c r="C905" t="s">
        <v>16</v>
      </c>
      <c r="D905" s="1">
        <v>45952</v>
      </c>
      <c r="E905" s="1">
        <v>45955</v>
      </c>
      <c r="F905" s="1">
        <v>45959</v>
      </c>
      <c r="G905" s="1">
        <v>45964</v>
      </c>
      <c r="H905" t="s">
        <v>17</v>
      </c>
      <c r="J905" s="1">
        <v>45990</v>
      </c>
      <c r="K905" s="7">
        <v>3</v>
      </c>
      <c r="L905" s="7">
        <v>4</v>
      </c>
      <c r="M905" s="7">
        <v>5</v>
      </c>
      <c r="N905" s="7">
        <v>9</v>
      </c>
    </row>
    <row r="906" spans="1:14" ht="36" x14ac:dyDescent="0.5">
      <c r="A906" t="s">
        <v>932</v>
      </c>
      <c r="B906" t="s">
        <v>19</v>
      </c>
      <c r="C906" t="s">
        <v>22</v>
      </c>
      <c r="D906" s="1">
        <v>45958</v>
      </c>
      <c r="H906" t="s">
        <v>23</v>
      </c>
      <c r="I906" s="2" t="s">
        <v>63</v>
      </c>
    </row>
    <row r="907" spans="1:14" x14ac:dyDescent="0.5">
      <c r="A907" t="s">
        <v>933</v>
      </c>
      <c r="B907" t="s">
        <v>32</v>
      </c>
      <c r="C907" t="s">
        <v>16</v>
      </c>
      <c r="D907" s="1">
        <v>45931</v>
      </c>
      <c r="E907" s="1">
        <v>45935</v>
      </c>
      <c r="F907" s="1">
        <v>45940</v>
      </c>
      <c r="G907" s="1">
        <v>45943</v>
      </c>
      <c r="H907" t="s">
        <v>17</v>
      </c>
      <c r="J907" s="1">
        <v>45955</v>
      </c>
      <c r="K907" s="7">
        <v>4</v>
      </c>
      <c r="L907" s="7">
        <v>5</v>
      </c>
      <c r="M907" s="7">
        <v>3</v>
      </c>
      <c r="N907" s="7">
        <v>7</v>
      </c>
    </row>
    <row r="908" spans="1:14" x14ac:dyDescent="0.5">
      <c r="A908" t="s">
        <v>934</v>
      </c>
      <c r="B908" t="s">
        <v>19</v>
      </c>
      <c r="C908" t="s">
        <v>16</v>
      </c>
      <c r="D908" s="1">
        <v>45935</v>
      </c>
      <c r="E908" s="1">
        <v>45936</v>
      </c>
      <c r="F908" s="1">
        <v>45940</v>
      </c>
      <c r="G908" s="1">
        <v>45942</v>
      </c>
      <c r="H908" t="s">
        <v>17</v>
      </c>
      <c r="J908" s="1">
        <v>45955</v>
      </c>
      <c r="K908" s="7">
        <v>1</v>
      </c>
      <c r="L908" s="7">
        <v>4</v>
      </c>
      <c r="M908" s="7">
        <v>2</v>
      </c>
      <c r="N908" s="7">
        <v>4</v>
      </c>
    </row>
    <row r="909" spans="1:14" x14ac:dyDescent="0.5">
      <c r="A909" t="s">
        <v>935</v>
      </c>
      <c r="B909" t="s">
        <v>21</v>
      </c>
      <c r="C909" t="s">
        <v>30</v>
      </c>
      <c r="D909" s="1">
        <v>45931</v>
      </c>
      <c r="E909" s="1">
        <v>45932</v>
      </c>
      <c r="F909" s="1">
        <v>45937</v>
      </c>
      <c r="G909" s="1">
        <v>45943</v>
      </c>
      <c r="H909" t="s">
        <v>17</v>
      </c>
      <c r="J909" s="1">
        <v>45961</v>
      </c>
      <c r="K909" s="7">
        <v>1</v>
      </c>
      <c r="L909" s="7">
        <v>5</v>
      </c>
      <c r="M909" s="7">
        <v>6</v>
      </c>
      <c r="N909" s="7">
        <v>2</v>
      </c>
    </row>
    <row r="910" spans="1:14" x14ac:dyDescent="0.5">
      <c r="A910" t="s">
        <v>936</v>
      </c>
      <c r="B910" t="s">
        <v>15</v>
      </c>
      <c r="C910" t="s">
        <v>16</v>
      </c>
      <c r="D910" s="1">
        <v>45942</v>
      </c>
      <c r="E910" s="1">
        <v>45946</v>
      </c>
      <c r="F910" s="1">
        <v>45950</v>
      </c>
      <c r="G910" s="1">
        <v>45956</v>
      </c>
      <c r="H910" t="s">
        <v>17</v>
      </c>
      <c r="J910" s="1">
        <v>45986</v>
      </c>
      <c r="K910" s="7">
        <v>4</v>
      </c>
      <c r="L910" s="7">
        <v>4</v>
      </c>
      <c r="M910" s="7">
        <v>6</v>
      </c>
      <c r="N910" s="7">
        <v>8</v>
      </c>
    </row>
    <row r="911" spans="1:14" x14ac:dyDescent="0.5">
      <c r="A911" t="s">
        <v>937</v>
      </c>
      <c r="B911" t="s">
        <v>21</v>
      </c>
      <c r="C911" t="s">
        <v>16</v>
      </c>
      <c r="D911" s="1">
        <v>45956</v>
      </c>
      <c r="E911" s="1">
        <v>45961</v>
      </c>
      <c r="F911" s="1">
        <v>45966</v>
      </c>
      <c r="G911" s="1">
        <v>45972</v>
      </c>
      <c r="H911" t="s">
        <v>17</v>
      </c>
      <c r="J911" s="1">
        <v>45989</v>
      </c>
      <c r="K911" s="7">
        <v>5</v>
      </c>
      <c r="L911" s="7">
        <v>5</v>
      </c>
      <c r="M911" s="7">
        <v>6</v>
      </c>
      <c r="N911" s="7">
        <v>2</v>
      </c>
    </row>
    <row r="912" spans="1:14" x14ac:dyDescent="0.5">
      <c r="A912" t="s">
        <v>938</v>
      </c>
      <c r="B912" t="s">
        <v>15</v>
      </c>
      <c r="C912" t="s">
        <v>16</v>
      </c>
      <c r="D912" s="1">
        <v>45956</v>
      </c>
      <c r="E912" s="1">
        <v>45960</v>
      </c>
      <c r="F912" s="1">
        <v>45965</v>
      </c>
      <c r="G912" s="1">
        <v>45968</v>
      </c>
      <c r="H912" t="s">
        <v>17</v>
      </c>
      <c r="J912" s="1">
        <v>45992</v>
      </c>
      <c r="K912" s="7">
        <v>4</v>
      </c>
      <c r="L912" s="7">
        <v>5</v>
      </c>
      <c r="M912" s="7">
        <v>3</v>
      </c>
      <c r="N912" s="7">
        <v>4</v>
      </c>
    </row>
    <row r="913" spans="1:14" x14ac:dyDescent="0.5">
      <c r="A913" t="s">
        <v>939</v>
      </c>
      <c r="B913" t="s">
        <v>32</v>
      </c>
      <c r="C913" t="s">
        <v>30</v>
      </c>
      <c r="D913" s="1">
        <v>45938</v>
      </c>
      <c r="E913" s="1">
        <v>45940</v>
      </c>
      <c r="F913" s="1">
        <v>45944</v>
      </c>
      <c r="G913" s="1">
        <v>45951</v>
      </c>
      <c r="H913" t="s">
        <v>17</v>
      </c>
      <c r="J913" s="1">
        <v>45970</v>
      </c>
      <c r="K913" s="7">
        <v>2</v>
      </c>
      <c r="L913" s="7">
        <v>4</v>
      </c>
      <c r="M913" s="7">
        <v>7</v>
      </c>
      <c r="N913" s="7">
        <v>1</v>
      </c>
    </row>
    <row r="914" spans="1:14" x14ac:dyDescent="0.5">
      <c r="A914" t="s">
        <v>940</v>
      </c>
      <c r="B914" t="s">
        <v>21</v>
      </c>
      <c r="C914" t="s">
        <v>30</v>
      </c>
      <c r="D914" s="1">
        <v>45949</v>
      </c>
      <c r="E914" s="1">
        <v>45951</v>
      </c>
      <c r="F914" s="1">
        <v>45956</v>
      </c>
      <c r="G914" s="1">
        <v>45960</v>
      </c>
      <c r="H914" t="s">
        <v>17</v>
      </c>
      <c r="J914" s="1">
        <v>45978</v>
      </c>
      <c r="K914" s="7">
        <v>2</v>
      </c>
      <c r="L914" s="7">
        <v>5</v>
      </c>
      <c r="M914" s="7">
        <v>4</v>
      </c>
      <c r="N914" s="7">
        <v>8</v>
      </c>
    </row>
    <row r="915" spans="1:14" x14ac:dyDescent="0.5">
      <c r="A915" t="s">
        <v>941</v>
      </c>
      <c r="B915" t="s">
        <v>19</v>
      </c>
      <c r="C915" t="s">
        <v>16</v>
      </c>
      <c r="D915" s="1">
        <v>45941</v>
      </c>
      <c r="E915" s="1">
        <v>45946</v>
      </c>
      <c r="F915" s="1">
        <v>45947</v>
      </c>
      <c r="G915" s="1">
        <v>45952</v>
      </c>
      <c r="H915" t="s">
        <v>17</v>
      </c>
      <c r="J915" s="1">
        <v>45976</v>
      </c>
      <c r="K915" s="7">
        <v>5</v>
      </c>
      <c r="L915" s="7">
        <v>1</v>
      </c>
      <c r="M915" s="7">
        <v>5</v>
      </c>
      <c r="N915" s="7">
        <v>9</v>
      </c>
    </row>
    <row r="916" spans="1:14" x14ac:dyDescent="0.5">
      <c r="A916" t="s">
        <v>942</v>
      </c>
      <c r="B916" t="s">
        <v>15</v>
      </c>
      <c r="C916" t="s">
        <v>30</v>
      </c>
      <c r="D916" s="1">
        <v>45931</v>
      </c>
      <c r="E916" s="1">
        <v>45934</v>
      </c>
      <c r="F916" s="1">
        <v>45937</v>
      </c>
      <c r="G916" s="1">
        <v>45942</v>
      </c>
      <c r="H916" t="s">
        <v>17</v>
      </c>
      <c r="J916" s="1">
        <v>45953</v>
      </c>
      <c r="K916" s="7">
        <v>3</v>
      </c>
      <c r="L916" s="7">
        <v>3</v>
      </c>
      <c r="M916" s="7">
        <v>5</v>
      </c>
      <c r="N916" s="7">
        <v>4</v>
      </c>
    </row>
    <row r="917" spans="1:14" x14ac:dyDescent="0.5">
      <c r="A917" t="s">
        <v>943</v>
      </c>
      <c r="B917" t="s">
        <v>15</v>
      </c>
      <c r="C917" t="s">
        <v>30</v>
      </c>
      <c r="D917" s="1">
        <v>45936</v>
      </c>
      <c r="E917" s="1">
        <v>45937</v>
      </c>
      <c r="F917" s="1">
        <v>45942</v>
      </c>
      <c r="G917" s="1">
        <v>45948</v>
      </c>
      <c r="H917" t="s">
        <v>17</v>
      </c>
      <c r="J917" s="1">
        <v>45961</v>
      </c>
      <c r="K917" s="7">
        <v>1</v>
      </c>
      <c r="L917" s="7">
        <v>5</v>
      </c>
      <c r="M917" s="7">
        <v>6</v>
      </c>
      <c r="N917" s="7">
        <v>1</v>
      </c>
    </row>
    <row r="918" spans="1:14" x14ac:dyDescent="0.5">
      <c r="A918" t="s">
        <v>944</v>
      </c>
      <c r="B918" t="s">
        <v>21</v>
      </c>
      <c r="C918" t="s">
        <v>30</v>
      </c>
      <c r="D918" s="1">
        <v>45939</v>
      </c>
      <c r="E918" s="1">
        <v>45940</v>
      </c>
      <c r="F918" s="1">
        <v>45945</v>
      </c>
      <c r="G918" s="1">
        <v>45950</v>
      </c>
      <c r="H918" t="s">
        <v>17</v>
      </c>
      <c r="J918" s="1">
        <v>45965</v>
      </c>
      <c r="K918" s="7">
        <v>1</v>
      </c>
      <c r="L918" s="7">
        <v>5</v>
      </c>
      <c r="M918" s="7">
        <v>5</v>
      </c>
      <c r="N918" s="7">
        <v>6</v>
      </c>
    </row>
    <row r="919" spans="1:14" x14ac:dyDescent="0.5">
      <c r="A919" t="s">
        <v>945</v>
      </c>
      <c r="B919" t="s">
        <v>32</v>
      </c>
      <c r="C919" t="s">
        <v>30</v>
      </c>
      <c r="D919" s="1">
        <v>45932</v>
      </c>
      <c r="E919" s="1">
        <v>45935</v>
      </c>
      <c r="F919" s="1">
        <v>45936</v>
      </c>
      <c r="G919" s="1">
        <v>45938</v>
      </c>
      <c r="H919" t="s">
        <v>17</v>
      </c>
      <c r="J919" s="1">
        <v>45949</v>
      </c>
      <c r="K919" s="7">
        <v>3</v>
      </c>
      <c r="L919" s="7">
        <v>1</v>
      </c>
      <c r="M919" s="7">
        <v>2</v>
      </c>
      <c r="N919" s="7">
        <v>8</v>
      </c>
    </row>
    <row r="920" spans="1:14" x14ac:dyDescent="0.5">
      <c r="A920" t="s">
        <v>946</v>
      </c>
      <c r="B920" t="s">
        <v>21</v>
      </c>
      <c r="C920" t="s">
        <v>30</v>
      </c>
      <c r="D920" s="1">
        <v>45935</v>
      </c>
      <c r="E920" s="1">
        <v>45939</v>
      </c>
      <c r="F920" s="1">
        <v>45940</v>
      </c>
      <c r="G920" s="1">
        <v>45942</v>
      </c>
      <c r="H920" t="s">
        <v>17</v>
      </c>
      <c r="J920" s="1">
        <v>45961</v>
      </c>
      <c r="K920" s="7">
        <v>4</v>
      </c>
      <c r="L920" s="7">
        <v>1</v>
      </c>
      <c r="M920" s="7">
        <v>2</v>
      </c>
      <c r="N920" s="7">
        <v>1</v>
      </c>
    </row>
    <row r="921" spans="1:14" x14ac:dyDescent="0.5">
      <c r="A921" t="s">
        <v>947</v>
      </c>
      <c r="B921" t="s">
        <v>32</v>
      </c>
      <c r="C921" t="s">
        <v>16</v>
      </c>
      <c r="D921" s="1">
        <v>45954</v>
      </c>
      <c r="E921" s="1">
        <v>45959</v>
      </c>
      <c r="F921" s="1">
        <v>45961</v>
      </c>
      <c r="G921" s="1">
        <v>45965</v>
      </c>
      <c r="H921" t="s">
        <v>17</v>
      </c>
      <c r="J921" s="1">
        <v>45986</v>
      </c>
      <c r="K921" s="7">
        <v>5</v>
      </c>
      <c r="L921" s="7">
        <v>2</v>
      </c>
      <c r="M921" s="7">
        <v>4</v>
      </c>
      <c r="N921" s="7">
        <v>6</v>
      </c>
    </row>
    <row r="922" spans="1:14" x14ac:dyDescent="0.5">
      <c r="A922" t="s">
        <v>948</v>
      </c>
      <c r="B922" t="s">
        <v>32</v>
      </c>
      <c r="C922" t="s">
        <v>16</v>
      </c>
      <c r="D922" s="1">
        <v>45944</v>
      </c>
      <c r="E922" s="1">
        <v>45948</v>
      </c>
      <c r="F922" s="1">
        <v>45951</v>
      </c>
      <c r="G922" s="1">
        <v>45956</v>
      </c>
      <c r="H922" t="s">
        <v>17</v>
      </c>
      <c r="J922" s="1">
        <v>45976</v>
      </c>
      <c r="K922" s="7">
        <v>4</v>
      </c>
      <c r="L922" s="7">
        <v>3</v>
      </c>
      <c r="M922" s="7">
        <v>5</v>
      </c>
      <c r="N922" s="7">
        <v>0</v>
      </c>
    </row>
    <row r="923" spans="1:14" x14ac:dyDescent="0.5">
      <c r="A923" t="s">
        <v>949</v>
      </c>
      <c r="B923" t="s">
        <v>15</v>
      </c>
      <c r="C923" t="s">
        <v>22</v>
      </c>
      <c r="D923" s="1">
        <v>45947</v>
      </c>
      <c r="H923" t="s">
        <v>23</v>
      </c>
      <c r="I923" s="2" t="s">
        <v>24</v>
      </c>
    </row>
    <row r="924" spans="1:14" x14ac:dyDescent="0.5">
      <c r="A924" t="s">
        <v>950</v>
      </c>
      <c r="B924" t="s">
        <v>21</v>
      </c>
      <c r="C924" t="s">
        <v>16</v>
      </c>
      <c r="D924" s="1">
        <v>45934</v>
      </c>
      <c r="E924" s="1">
        <v>45937</v>
      </c>
      <c r="F924" s="1">
        <v>45939</v>
      </c>
      <c r="G924" s="1">
        <v>45942</v>
      </c>
      <c r="H924" t="s">
        <v>17</v>
      </c>
      <c r="J924" s="1">
        <v>45965</v>
      </c>
      <c r="K924" s="7">
        <v>3</v>
      </c>
      <c r="L924" s="7">
        <v>2</v>
      </c>
      <c r="M924" s="7">
        <v>3</v>
      </c>
      <c r="N924" s="7">
        <v>6</v>
      </c>
    </row>
    <row r="925" spans="1:14" x14ac:dyDescent="0.5">
      <c r="A925" t="s">
        <v>951</v>
      </c>
      <c r="B925" t="s">
        <v>21</v>
      </c>
      <c r="C925" t="s">
        <v>16</v>
      </c>
      <c r="D925" s="1">
        <v>45954</v>
      </c>
      <c r="E925" s="1">
        <v>45959</v>
      </c>
      <c r="F925" s="1">
        <v>45964</v>
      </c>
      <c r="G925" s="1">
        <v>45969</v>
      </c>
      <c r="H925" t="s">
        <v>17</v>
      </c>
      <c r="J925" s="1">
        <v>45982</v>
      </c>
      <c r="K925" s="7">
        <v>5</v>
      </c>
      <c r="L925" s="7">
        <v>5</v>
      </c>
      <c r="M925" s="7">
        <v>5</v>
      </c>
      <c r="N925" s="7">
        <v>6</v>
      </c>
    </row>
    <row r="926" spans="1:14" x14ac:dyDescent="0.5">
      <c r="A926" t="s">
        <v>952</v>
      </c>
      <c r="B926" t="s">
        <v>32</v>
      </c>
      <c r="C926" t="s">
        <v>30</v>
      </c>
      <c r="D926" s="1">
        <v>45933</v>
      </c>
      <c r="E926" s="1">
        <v>45934</v>
      </c>
      <c r="F926" s="1">
        <v>45935</v>
      </c>
      <c r="G926" s="1">
        <v>45938</v>
      </c>
      <c r="H926" t="s">
        <v>17</v>
      </c>
      <c r="J926" s="1">
        <v>45951</v>
      </c>
      <c r="K926" s="7">
        <v>1</v>
      </c>
      <c r="L926" s="7">
        <v>1</v>
      </c>
      <c r="M926" s="7">
        <v>3</v>
      </c>
      <c r="N926" s="7">
        <v>6</v>
      </c>
    </row>
    <row r="927" spans="1:14" x14ac:dyDescent="0.5">
      <c r="A927" t="s">
        <v>953</v>
      </c>
      <c r="B927" t="s">
        <v>21</v>
      </c>
      <c r="C927" t="s">
        <v>30</v>
      </c>
      <c r="D927" s="1">
        <v>45946</v>
      </c>
      <c r="E927" s="1">
        <v>45947</v>
      </c>
      <c r="F927" s="1">
        <v>45952</v>
      </c>
      <c r="G927" s="1">
        <v>45959</v>
      </c>
      <c r="H927" t="s">
        <v>17</v>
      </c>
      <c r="J927" s="1">
        <v>45970</v>
      </c>
      <c r="K927" s="7">
        <v>1</v>
      </c>
      <c r="L927" s="7">
        <v>5</v>
      </c>
      <c r="M927" s="7">
        <v>7</v>
      </c>
      <c r="N927" s="7">
        <v>2</v>
      </c>
    </row>
    <row r="928" spans="1:14" x14ac:dyDescent="0.5">
      <c r="A928" t="s">
        <v>954</v>
      </c>
      <c r="B928" t="s">
        <v>19</v>
      </c>
      <c r="C928" t="s">
        <v>16</v>
      </c>
      <c r="D928" s="1">
        <v>45945</v>
      </c>
      <c r="E928" s="1">
        <v>45949</v>
      </c>
      <c r="F928" s="1">
        <v>45953</v>
      </c>
      <c r="G928" s="1">
        <v>45959</v>
      </c>
      <c r="H928" t="s">
        <v>17</v>
      </c>
      <c r="J928" s="1">
        <v>45969</v>
      </c>
      <c r="K928" s="7">
        <v>4</v>
      </c>
      <c r="L928" s="7">
        <v>4</v>
      </c>
      <c r="M928" s="7">
        <v>6</v>
      </c>
      <c r="N928" s="7">
        <v>7</v>
      </c>
    </row>
    <row r="929" spans="1:14" ht="36" x14ac:dyDescent="0.5">
      <c r="A929" t="s">
        <v>955</v>
      </c>
      <c r="B929" t="s">
        <v>19</v>
      </c>
      <c r="C929" t="s">
        <v>30</v>
      </c>
      <c r="D929" s="1">
        <v>45955</v>
      </c>
      <c r="E929" s="1">
        <v>45957</v>
      </c>
      <c r="F929" s="1">
        <v>45960</v>
      </c>
      <c r="G929" s="1">
        <v>45963</v>
      </c>
      <c r="H929" t="s">
        <v>23</v>
      </c>
      <c r="I929" s="2" t="s">
        <v>63</v>
      </c>
      <c r="K929" s="7">
        <v>2</v>
      </c>
      <c r="L929" s="7">
        <v>3</v>
      </c>
      <c r="M929" s="7">
        <v>3</v>
      </c>
    </row>
    <row r="930" spans="1:14" x14ac:dyDescent="0.5">
      <c r="A930" t="s">
        <v>956</v>
      </c>
      <c r="B930" t="s">
        <v>21</v>
      </c>
      <c r="C930" t="s">
        <v>16</v>
      </c>
      <c r="D930" s="1">
        <v>45942</v>
      </c>
      <c r="E930" s="1">
        <v>45945</v>
      </c>
      <c r="F930" s="1">
        <v>45949</v>
      </c>
      <c r="G930" s="1">
        <v>45956</v>
      </c>
      <c r="H930" t="s">
        <v>17</v>
      </c>
      <c r="J930" s="1">
        <v>45970</v>
      </c>
      <c r="K930" s="7">
        <v>3</v>
      </c>
      <c r="L930" s="7">
        <v>4</v>
      </c>
      <c r="M930" s="7">
        <v>7</v>
      </c>
      <c r="N930" s="7">
        <v>8</v>
      </c>
    </row>
    <row r="931" spans="1:14" x14ac:dyDescent="0.5">
      <c r="A931" t="s">
        <v>957</v>
      </c>
      <c r="B931" t="s">
        <v>21</v>
      </c>
      <c r="C931" t="s">
        <v>16</v>
      </c>
      <c r="D931" s="1">
        <v>45947</v>
      </c>
      <c r="E931" s="1">
        <v>45950</v>
      </c>
      <c r="F931" s="1">
        <v>45951</v>
      </c>
      <c r="G931" s="1">
        <v>45957</v>
      </c>
      <c r="H931" t="s">
        <v>17</v>
      </c>
      <c r="J931" s="1">
        <v>45987</v>
      </c>
      <c r="K931" s="7">
        <v>3</v>
      </c>
      <c r="L931" s="7">
        <v>1</v>
      </c>
      <c r="M931" s="7">
        <v>6</v>
      </c>
      <c r="N931" s="7">
        <v>1</v>
      </c>
    </row>
    <row r="932" spans="1:14" x14ac:dyDescent="0.5">
      <c r="A932" t="s">
        <v>958</v>
      </c>
      <c r="B932" t="s">
        <v>32</v>
      </c>
      <c r="C932" t="s">
        <v>16</v>
      </c>
      <c r="D932" s="1">
        <v>45949</v>
      </c>
      <c r="E932" s="1">
        <v>45953</v>
      </c>
      <c r="F932" s="1">
        <v>45954</v>
      </c>
      <c r="G932" s="1">
        <v>45956</v>
      </c>
      <c r="H932" t="s">
        <v>17</v>
      </c>
      <c r="J932" s="1">
        <v>45971</v>
      </c>
      <c r="K932" s="7">
        <v>4</v>
      </c>
      <c r="L932" s="7">
        <v>1</v>
      </c>
      <c r="M932" s="7">
        <v>2</v>
      </c>
      <c r="N932" s="7">
        <v>7</v>
      </c>
    </row>
    <row r="933" spans="1:14" x14ac:dyDescent="0.5">
      <c r="A933" t="s">
        <v>959</v>
      </c>
      <c r="B933" t="s">
        <v>19</v>
      </c>
      <c r="C933" t="s">
        <v>30</v>
      </c>
      <c r="D933" s="1">
        <v>45934</v>
      </c>
      <c r="E933" s="1">
        <v>45937</v>
      </c>
      <c r="F933" s="1">
        <v>45938</v>
      </c>
      <c r="G933" s="1">
        <v>45943</v>
      </c>
      <c r="H933" t="s">
        <v>17</v>
      </c>
      <c r="J933" s="1">
        <v>45963</v>
      </c>
      <c r="K933" s="7">
        <v>3</v>
      </c>
      <c r="L933" s="7">
        <v>1</v>
      </c>
      <c r="M933" s="7">
        <v>5</v>
      </c>
      <c r="N933" s="7">
        <v>9</v>
      </c>
    </row>
    <row r="934" spans="1:14" x14ac:dyDescent="0.5">
      <c r="A934" t="s">
        <v>960</v>
      </c>
      <c r="B934" t="s">
        <v>19</v>
      </c>
      <c r="C934" t="s">
        <v>16</v>
      </c>
      <c r="D934" s="1">
        <v>45945</v>
      </c>
      <c r="E934" s="1">
        <v>45946</v>
      </c>
      <c r="F934" s="1">
        <v>45949</v>
      </c>
      <c r="G934" s="1">
        <v>45956</v>
      </c>
      <c r="H934" t="s">
        <v>17</v>
      </c>
      <c r="J934" s="1">
        <v>45977</v>
      </c>
      <c r="K934" s="7">
        <v>1</v>
      </c>
      <c r="L934" s="7">
        <v>3</v>
      </c>
      <c r="M934" s="7">
        <v>7</v>
      </c>
      <c r="N934" s="7">
        <v>2</v>
      </c>
    </row>
    <row r="935" spans="1:14" ht="36" x14ac:dyDescent="0.5">
      <c r="A935" t="s">
        <v>961</v>
      </c>
      <c r="B935" t="s">
        <v>15</v>
      </c>
      <c r="C935" t="s">
        <v>16</v>
      </c>
      <c r="D935" s="1">
        <v>45947</v>
      </c>
      <c r="E935" s="1">
        <v>45951</v>
      </c>
      <c r="F935" s="1">
        <v>45953</v>
      </c>
      <c r="G935" s="1">
        <v>45957</v>
      </c>
      <c r="H935" t="s">
        <v>23</v>
      </c>
      <c r="I935" s="2" t="s">
        <v>33</v>
      </c>
      <c r="K935" s="7">
        <v>4</v>
      </c>
      <c r="L935" s="7">
        <v>2</v>
      </c>
      <c r="M935" s="7">
        <v>4</v>
      </c>
    </row>
    <row r="936" spans="1:14" x14ac:dyDescent="0.5">
      <c r="A936" t="s">
        <v>962</v>
      </c>
      <c r="B936" t="s">
        <v>32</v>
      </c>
      <c r="C936" t="s">
        <v>30</v>
      </c>
      <c r="D936" s="1">
        <v>45938</v>
      </c>
      <c r="E936" s="1">
        <v>45939</v>
      </c>
      <c r="F936" s="1">
        <v>45944</v>
      </c>
      <c r="G936" s="1">
        <v>45949</v>
      </c>
      <c r="H936" t="s">
        <v>17</v>
      </c>
      <c r="J936" s="1">
        <v>45973</v>
      </c>
      <c r="K936" s="7">
        <v>1</v>
      </c>
      <c r="L936" s="7">
        <v>5</v>
      </c>
      <c r="M936" s="7">
        <v>5</v>
      </c>
      <c r="N936" s="7">
        <v>9</v>
      </c>
    </row>
    <row r="937" spans="1:14" x14ac:dyDescent="0.5">
      <c r="A937" t="s">
        <v>963</v>
      </c>
      <c r="B937" t="s">
        <v>15</v>
      </c>
      <c r="C937" t="s">
        <v>16</v>
      </c>
      <c r="D937" s="1">
        <v>45961</v>
      </c>
      <c r="E937" s="1">
        <v>45966</v>
      </c>
      <c r="F937" s="1">
        <v>45971</v>
      </c>
      <c r="G937" s="1">
        <v>45977</v>
      </c>
      <c r="H937" t="s">
        <v>17</v>
      </c>
      <c r="J937" s="1">
        <v>46006</v>
      </c>
      <c r="K937" s="7">
        <v>5</v>
      </c>
      <c r="L937" s="7">
        <v>5</v>
      </c>
      <c r="M937" s="7">
        <v>6</v>
      </c>
      <c r="N937" s="7">
        <v>2</v>
      </c>
    </row>
    <row r="938" spans="1:14" x14ac:dyDescent="0.5">
      <c r="A938" t="s">
        <v>964</v>
      </c>
      <c r="B938" t="s">
        <v>19</v>
      </c>
      <c r="C938" t="s">
        <v>16</v>
      </c>
      <c r="D938" s="1">
        <v>45950</v>
      </c>
      <c r="E938" s="1">
        <v>45955</v>
      </c>
      <c r="F938" s="1">
        <v>45960</v>
      </c>
      <c r="G938" s="1">
        <v>45965</v>
      </c>
      <c r="H938" t="s">
        <v>17</v>
      </c>
      <c r="J938" s="1">
        <v>45983</v>
      </c>
      <c r="K938" s="7">
        <v>5</v>
      </c>
      <c r="L938" s="7">
        <v>5</v>
      </c>
      <c r="M938" s="7">
        <v>5</v>
      </c>
      <c r="N938" s="7">
        <v>4</v>
      </c>
    </row>
    <row r="939" spans="1:14" x14ac:dyDescent="0.5">
      <c r="A939" t="s">
        <v>965</v>
      </c>
      <c r="B939" t="s">
        <v>32</v>
      </c>
      <c r="C939" t="s">
        <v>22</v>
      </c>
      <c r="D939" s="1">
        <v>45932</v>
      </c>
      <c r="H939" t="s">
        <v>23</v>
      </c>
      <c r="I939" s="2" t="s">
        <v>101</v>
      </c>
    </row>
    <row r="940" spans="1:14" x14ac:dyDescent="0.5">
      <c r="A940" t="s">
        <v>966</v>
      </c>
      <c r="B940" t="s">
        <v>21</v>
      </c>
      <c r="C940" t="s">
        <v>30</v>
      </c>
      <c r="D940" s="1">
        <v>45954</v>
      </c>
      <c r="E940" s="1">
        <v>45956</v>
      </c>
      <c r="F940" s="1">
        <v>45961</v>
      </c>
      <c r="G940" s="1">
        <v>45965</v>
      </c>
      <c r="H940" t="s">
        <v>17</v>
      </c>
      <c r="J940" s="1">
        <v>45977</v>
      </c>
      <c r="K940" s="7">
        <v>2</v>
      </c>
      <c r="L940" s="7">
        <v>5</v>
      </c>
      <c r="M940" s="7">
        <v>4</v>
      </c>
      <c r="N940" s="7">
        <v>7</v>
      </c>
    </row>
    <row r="941" spans="1:14" x14ac:dyDescent="0.5">
      <c r="A941" t="s">
        <v>967</v>
      </c>
      <c r="B941" t="s">
        <v>32</v>
      </c>
      <c r="C941" t="s">
        <v>22</v>
      </c>
      <c r="D941" s="1">
        <v>45956</v>
      </c>
      <c r="H941" t="s">
        <v>23</v>
      </c>
      <c r="I941" s="2" t="s">
        <v>101</v>
      </c>
    </row>
    <row r="942" spans="1:14" x14ac:dyDescent="0.5">
      <c r="A942" t="s">
        <v>968</v>
      </c>
      <c r="B942" t="s">
        <v>21</v>
      </c>
      <c r="C942" t="s">
        <v>16</v>
      </c>
      <c r="D942" s="1">
        <v>45960</v>
      </c>
      <c r="E942" s="1">
        <v>45963</v>
      </c>
      <c r="F942" s="1">
        <v>45968</v>
      </c>
      <c r="G942" s="1">
        <v>45974</v>
      </c>
      <c r="H942" t="s">
        <v>17</v>
      </c>
      <c r="J942" s="1">
        <v>45995</v>
      </c>
      <c r="K942" s="7">
        <v>3</v>
      </c>
      <c r="L942" s="7">
        <v>5</v>
      </c>
      <c r="M942" s="7">
        <v>6</v>
      </c>
      <c r="N942" s="7">
        <v>8</v>
      </c>
    </row>
    <row r="943" spans="1:14" x14ac:dyDescent="0.5">
      <c r="A943" t="s">
        <v>969</v>
      </c>
      <c r="B943" t="s">
        <v>21</v>
      </c>
      <c r="C943" t="s">
        <v>16</v>
      </c>
      <c r="D943" s="1">
        <v>45958</v>
      </c>
      <c r="E943" s="1">
        <v>45963</v>
      </c>
      <c r="F943" s="1">
        <v>45965</v>
      </c>
      <c r="G943" s="1">
        <v>45971</v>
      </c>
      <c r="H943" t="s">
        <v>17</v>
      </c>
      <c r="J943" s="1">
        <v>45991</v>
      </c>
      <c r="K943" s="7">
        <v>5</v>
      </c>
      <c r="L943" s="7">
        <v>2</v>
      </c>
      <c r="M943" s="7">
        <v>6</v>
      </c>
      <c r="N943" s="7">
        <v>5</v>
      </c>
    </row>
    <row r="944" spans="1:14" x14ac:dyDescent="0.5">
      <c r="A944" t="s">
        <v>970</v>
      </c>
      <c r="B944" t="s">
        <v>32</v>
      </c>
      <c r="C944" t="s">
        <v>30</v>
      </c>
      <c r="D944" s="1">
        <v>45952</v>
      </c>
      <c r="E944" s="1">
        <v>45955</v>
      </c>
      <c r="F944" s="1">
        <v>45959</v>
      </c>
      <c r="G944" s="1">
        <v>45963</v>
      </c>
      <c r="H944" t="s">
        <v>17</v>
      </c>
      <c r="J944" s="1">
        <v>45978</v>
      </c>
      <c r="K944" s="7">
        <v>3</v>
      </c>
      <c r="L944" s="7">
        <v>4</v>
      </c>
      <c r="M944" s="7">
        <v>4</v>
      </c>
      <c r="N944" s="7">
        <v>4</v>
      </c>
    </row>
    <row r="945" spans="1:14" x14ac:dyDescent="0.5">
      <c r="A945" t="s">
        <v>971</v>
      </c>
      <c r="B945" t="s">
        <v>21</v>
      </c>
      <c r="C945" t="s">
        <v>16</v>
      </c>
      <c r="D945" s="1">
        <v>45947</v>
      </c>
      <c r="E945" s="1">
        <v>45948</v>
      </c>
      <c r="F945" s="1">
        <v>45951</v>
      </c>
      <c r="G945" s="1">
        <v>45956</v>
      </c>
      <c r="H945" t="s">
        <v>17</v>
      </c>
      <c r="J945" s="1">
        <v>45969</v>
      </c>
      <c r="K945" s="7">
        <v>1</v>
      </c>
      <c r="L945" s="7">
        <v>3</v>
      </c>
      <c r="M945" s="7">
        <v>5</v>
      </c>
      <c r="N945" s="7">
        <v>2</v>
      </c>
    </row>
    <row r="946" spans="1:14" x14ac:dyDescent="0.5">
      <c r="A946" t="s">
        <v>972</v>
      </c>
      <c r="B946" t="s">
        <v>15</v>
      </c>
      <c r="C946" t="s">
        <v>30</v>
      </c>
      <c r="D946" s="1">
        <v>45940</v>
      </c>
      <c r="E946" s="1">
        <v>45944</v>
      </c>
      <c r="F946" s="1">
        <v>45948</v>
      </c>
      <c r="G946" s="1">
        <v>45952</v>
      </c>
      <c r="H946" t="s">
        <v>17</v>
      </c>
      <c r="J946" s="1">
        <v>45974</v>
      </c>
      <c r="K946" s="7">
        <v>4</v>
      </c>
      <c r="L946" s="7">
        <v>4</v>
      </c>
      <c r="M946" s="7">
        <v>4</v>
      </c>
      <c r="N946" s="7">
        <v>3</v>
      </c>
    </row>
    <row r="947" spans="1:14" x14ac:dyDescent="0.5">
      <c r="A947" t="s">
        <v>973</v>
      </c>
      <c r="B947" t="s">
        <v>19</v>
      </c>
      <c r="C947" t="s">
        <v>16</v>
      </c>
      <c r="D947" s="1">
        <v>45945</v>
      </c>
      <c r="E947" s="1">
        <v>45950</v>
      </c>
      <c r="F947" s="1">
        <v>45954</v>
      </c>
      <c r="G947" s="1">
        <v>45957</v>
      </c>
      <c r="H947" t="s">
        <v>17</v>
      </c>
      <c r="J947" s="1">
        <v>45979</v>
      </c>
      <c r="K947" s="7">
        <v>5</v>
      </c>
      <c r="L947" s="7">
        <v>4</v>
      </c>
      <c r="M947" s="7">
        <v>3</v>
      </c>
      <c r="N947" s="7">
        <v>6</v>
      </c>
    </row>
    <row r="948" spans="1:14" x14ac:dyDescent="0.5">
      <c r="A948" t="s">
        <v>974</v>
      </c>
      <c r="B948" t="s">
        <v>21</v>
      </c>
      <c r="C948" t="s">
        <v>30</v>
      </c>
      <c r="D948" s="1">
        <v>45951</v>
      </c>
      <c r="E948" s="1">
        <v>45955</v>
      </c>
      <c r="F948" s="1">
        <v>45960</v>
      </c>
      <c r="G948" s="1">
        <v>45962</v>
      </c>
      <c r="H948" t="s">
        <v>17</v>
      </c>
      <c r="J948" s="1">
        <v>45986</v>
      </c>
      <c r="K948" s="7">
        <v>4</v>
      </c>
      <c r="L948" s="7">
        <v>5</v>
      </c>
      <c r="M948" s="7">
        <v>2</v>
      </c>
      <c r="N948" s="7">
        <v>6</v>
      </c>
    </row>
    <row r="949" spans="1:14" x14ac:dyDescent="0.5">
      <c r="A949" t="s">
        <v>975</v>
      </c>
      <c r="B949" t="s">
        <v>15</v>
      </c>
      <c r="C949" t="s">
        <v>22</v>
      </c>
      <c r="D949" s="1">
        <v>45961</v>
      </c>
      <c r="H949" t="s">
        <v>23</v>
      </c>
      <c r="I949" s="2" t="s">
        <v>24</v>
      </c>
    </row>
    <row r="950" spans="1:14" x14ac:dyDescent="0.5">
      <c r="A950" t="s">
        <v>976</v>
      </c>
      <c r="B950" t="s">
        <v>21</v>
      </c>
      <c r="C950" t="s">
        <v>16</v>
      </c>
      <c r="D950" s="1">
        <v>45931</v>
      </c>
      <c r="E950" s="1">
        <v>45936</v>
      </c>
      <c r="F950" s="1">
        <v>45941</v>
      </c>
      <c r="G950" s="1">
        <v>45945</v>
      </c>
      <c r="H950" t="s">
        <v>17</v>
      </c>
      <c r="J950" s="1">
        <v>45963</v>
      </c>
      <c r="K950" s="7">
        <v>5</v>
      </c>
      <c r="L950" s="7">
        <v>5</v>
      </c>
      <c r="M950" s="7">
        <v>4</v>
      </c>
      <c r="N950" s="7">
        <v>8</v>
      </c>
    </row>
    <row r="951" spans="1:14" x14ac:dyDescent="0.5">
      <c r="A951" t="s">
        <v>977</v>
      </c>
      <c r="B951" t="s">
        <v>19</v>
      </c>
      <c r="C951" t="s">
        <v>16</v>
      </c>
      <c r="D951" s="1">
        <v>45932</v>
      </c>
      <c r="E951" s="1">
        <v>45935</v>
      </c>
      <c r="F951" s="1">
        <v>45937</v>
      </c>
      <c r="G951" s="1">
        <v>45943</v>
      </c>
      <c r="H951" t="s">
        <v>17</v>
      </c>
      <c r="J951" s="1">
        <v>45965</v>
      </c>
      <c r="K951" s="7">
        <v>3</v>
      </c>
      <c r="L951" s="7">
        <v>2</v>
      </c>
      <c r="M951" s="7">
        <v>6</v>
      </c>
      <c r="N951" s="7">
        <v>2</v>
      </c>
    </row>
    <row r="952" spans="1:14" x14ac:dyDescent="0.5">
      <c r="A952" t="s">
        <v>978</v>
      </c>
      <c r="B952" t="s">
        <v>15</v>
      </c>
      <c r="C952" t="s">
        <v>30</v>
      </c>
      <c r="D952" s="1">
        <v>45946</v>
      </c>
      <c r="E952" s="1">
        <v>45951</v>
      </c>
      <c r="F952" s="1">
        <v>45954</v>
      </c>
      <c r="G952" s="1">
        <v>45957</v>
      </c>
      <c r="H952" t="s">
        <v>17</v>
      </c>
      <c r="J952" s="1">
        <v>45982</v>
      </c>
      <c r="K952" s="7">
        <v>5</v>
      </c>
      <c r="L952" s="7">
        <v>3</v>
      </c>
      <c r="M952" s="7">
        <v>3</v>
      </c>
      <c r="N952" s="7">
        <v>3</v>
      </c>
    </row>
    <row r="953" spans="1:14" x14ac:dyDescent="0.5">
      <c r="A953" t="s">
        <v>979</v>
      </c>
      <c r="B953" t="s">
        <v>19</v>
      </c>
      <c r="C953" t="s">
        <v>30</v>
      </c>
      <c r="D953" s="1">
        <v>45958</v>
      </c>
      <c r="E953" s="1">
        <v>45963</v>
      </c>
      <c r="F953" s="1">
        <v>45964</v>
      </c>
      <c r="G953" s="1">
        <v>45966</v>
      </c>
      <c r="H953" t="s">
        <v>17</v>
      </c>
      <c r="J953" s="1">
        <v>45989</v>
      </c>
      <c r="K953" s="7">
        <v>5</v>
      </c>
      <c r="L953" s="7">
        <v>1</v>
      </c>
      <c r="M953" s="7">
        <v>2</v>
      </c>
      <c r="N953" s="7">
        <v>1</v>
      </c>
    </row>
    <row r="954" spans="1:14" x14ac:dyDescent="0.5">
      <c r="A954" t="s">
        <v>980</v>
      </c>
      <c r="B954" t="s">
        <v>19</v>
      </c>
      <c r="C954" t="s">
        <v>16</v>
      </c>
      <c r="D954" s="1">
        <v>45943</v>
      </c>
      <c r="E954" s="1">
        <v>45944</v>
      </c>
      <c r="F954" s="1">
        <v>45948</v>
      </c>
      <c r="G954" s="1">
        <v>45952</v>
      </c>
      <c r="H954" t="s">
        <v>17</v>
      </c>
      <c r="J954" s="1">
        <v>45982</v>
      </c>
      <c r="K954" s="7">
        <v>1</v>
      </c>
      <c r="L954" s="7">
        <v>4</v>
      </c>
      <c r="M954" s="7">
        <v>4</v>
      </c>
      <c r="N954" s="7">
        <v>1</v>
      </c>
    </row>
    <row r="955" spans="1:14" x14ac:dyDescent="0.5">
      <c r="A955" t="s">
        <v>981</v>
      </c>
      <c r="B955" t="s">
        <v>15</v>
      </c>
      <c r="C955" t="s">
        <v>16</v>
      </c>
      <c r="D955" s="1">
        <v>45944</v>
      </c>
      <c r="E955" s="1">
        <v>45946</v>
      </c>
      <c r="F955" s="1">
        <v>45947</v>
      </c>
      <c r="G955" s="1">
        <v>45949</v>
      </c>
      <c r="H955" t="s">
        <v>17</v>
      </c>
      <c r="J955" s="1">
        <v>45964</v>
      </c>
      <c r="K955" s="7">
        <v>2</v>
      </c>
      <c r="L955" s="7">
        <v>1</v>
      </c>
      <c r="M955" s="7">
        <v>2</v>
      </c>
      <c r="N955" s="7">
        <v>6</v>
      </c>
    </row>
    <row r="956" spans="1:14" x14ac:dyDescent="0.5">
      <c r="A956" t="s">
        <v>982</v>
      </c>
      <c r="B956" t="s">
        <v>15</v>
      </c>
      <c r="C956" t="s">
        <v>30</v>
      </c>
      <c r="D956" s="1">
        <v>45952</v>
      </c>
      <c r="E956" s="1">
        <v>45953</v>
      </c>
      <c r="F956" s="1">
        <v>45956</v>
      </c>
      <c r="G956" s="1">
        <v>45961</v>
      </c>
      <c r="H956" t="s">
        <v>17</v>
      </c>
      <c r="J956" s="1">
        <v>45974</v>
      </c>
      <c r="K956" s="7">
        <v>1</v>
      </c>
      <c r="L956" s="7">
        <v>3</v>
      </c>
      <c r="M956" s="7">
        <v>5</v>
      </c>
      <c r="N956" s="7">
        <v>1</v>
      </c>
    </row>
    <row r="957" spans="1:14" x14ac:dyDescent="0.5">
      <c r="A957" t="s">
        <v>983</v>
      </c>
      <c r="B957" t="s">
        <v>15</v>
      </c>
      <c r="C957" t="s">
        <v>16</v>
      </c>
      <c r="D957" s="1">
        <v>45934</v>
      </c>
      <c r="E957" s="1">
        <v>45938</v>
      </c>
      <c r="F957" s="1">
        <v>45942</v>
      </c>
      <c r="G957" s="1">
        <v>45948</v>
      </c>
      <c r="H957" t="s">
        <v>17</v>
      </c>
      <c r="J957" s="1">
        <v>45962</v>
      </c>
      <c r="K957" s="7">
        <v>4</v>
      </c>
      <c r="L957" s="7">
        <v>4</v>
      </c>
      <c r="M957" s="7">
        <v>6</v>
      </c>
      <c r="N957" s="7">
        <v>2</v>
      </c>
    </row>
    <row r="958" spans="1:14" x14ac:dyDescent="0.5">
      <c r="A958" t="s">
        <v>984</v>
      </c>
      <c r="B958" t="s">
        <v>32</v>
      </c>
      <c r="C958" t="s">
        <v>22</v>
      </c>
      <c r="D958" s="1">
        <v>45946</v>
      </c>
      <c r="H958" t="s">
        <v>23</v>
      </c>
      <c r="I958" s="2" t="s">
        <v>101</v>
      </c>
    </row>
    <row r="959" spans="1:14" x14ac:dyDescent="0.5">
      <c r="A959" t="s">
        <v>985</v>
      </c>
      <c r="B959" t="s">
        <v>15</v>
      </c>
      <c r="C959" t="s">
        <v>16</v>
      </c>
      <c r="D959" s="1">
        <v>45953</v>
      </c>
      <c r="E959" s="1">
        <v>45956</v>
      </c>
      <c r="F959" s="1">
        <v>45957</v>
      </c>
      <c r="G959" s="1">
        <v>45961</v>
      </c>
      <c r="H959" t="s">
        <v>17</v>
      </c>
      <c r="J959" s="1">
        <v>45972</v>
      </c>
      <c r="K959" s="7">
        <v>3</v>
      </c>
      <c r="L959" s="7">
        <v>1</v>
      </c>
      <c r="M959" s="7">
        <v>4</v>
      </c>
      <c r="N959" s="7">
        <v>10</v>
      </c>
    </row>
    <row r="960" spans="1:14" x14ac:dyDescent="0.5">
      <c r="A960" t="s">
        <v>986</v>
      </c>
      <c r="B960" t="s">
        <v>15</v>
      </c>
      <c r="C960" t="s">
        <v>16</v>
      </c>
      <c r="D960" s="1">
        <v>45960</v>
      </c>
      <c r="E960" s="1">
        <v>45963</v>
      </c>
      <c r="F960" s="1">
        <v>45964</v>
      </c>
      <c r="G960" s="1">
        <v>45970</v>
      </c>
      <c r="H960" t="s">
        <v>17</v>
      </c>
      <c r="J960" s="1">
        <v>45985</v>
      </c>
      <c r="K960" s="7">
        <v>3</v>
      </c>
      <c r="L960" s="7">
        <v>1</v>
      </c>
      <c r="M960" s="7">
        <v>6</v>
      </c>
      <c r="N960" s="7">
        <v>1</v>
      </c>
    </row>
    <row r="961" spans="1:14" ht="36" x14ac:dyDescent="0.5">
      <c r="A961" t="s">
        <v>987</v>
      </c>
      <c r="B961" t="s">
        <v>15</v>
      </c>
      <c r="C961" t="s">
        <v>22</v>
      </c>
      <c r="D961" s="1">
        <v>45945</v>
      </c>
      <c r="H961" t="s">
        <v>23</v>
      </c>
      <c r="I961" s="2" t="s">
        <v>33</v>
      </c>
    </row>
    <row r="962" spans="1:14" x14ac:dyDescent="0.5">
      <c r="A962" t="s">
        <v>988</v>
      </c>
      <c r="B962" t="s">
        <v>15</v>
      </c>
      <c r="C962" t="s">
        <v>30</v>
      </c>
      <c r="D962" s="1">
        <v>45933</v>
      </c>
      <c r="E962" s="1">
        <v>45938</v>
      </c>
      <c r="F962" s="1">
        <v>45940</v>
      </c>
      <c r="G962" s="1">
        <v>45943</v>
      </c>
      <c r="H962" t="s">
        <v>17</v>
      </c>
      <c r="J962" s="1">
        <v>45956</v>
      </c>
      <c r="K962" s="7">
        <v>5</v>
      </c>
      <c r="L962" s="7">
        <v>2</v>
      </c>
      <c r="M962" s="7">
        <v>3</v>
      </c>
      <c r="N962" s="7">
        <v>8</v>
      </c>
    </row>
    <row r="963" spans="1:14" x14ac:dyDescent="0.5">
      <c r="A963" t="s">
        <v>989</v>
      </c>
      <c r="B963" t="s">
        <v>21</v>
      </c>
      <c r="C963" t="s">
        <v>16</v>
      </c>
      <c r="D963" s="1">
        <v>45959</v>
      </c>
      <c r="E963" s="1">
        <v>45962</v>
      </c>
      <c r="F963" s="1">
        <v>45965</v>
      </c>
      <c r="G963" s="1">
        <v>45968</v>
      </c>
      <c r="H963" t="s">
        <v>17</v>
      </c>
      <c r="J963" s="1">
        <v>45991</v>
      </c>
      <c r="K963" s="7">
        <v>3</v>
      </c>
      <c r="L963" s="7">
        <v>3</v>
      </c>
      <c r="M963" s="7">
        <v>3</v>
      </c>
      <c r="N963" s="7">
        <v>6</v>
      </c>
    </row>
    <row r="964" spans="1:14" x14ac:dyDescent="0.5">
      <c r="A964" t="s">
        <v>990</v>
      </c>
      <c r="B964" t="s">
        <v>32</v>
      </c>
      <c r="C964" t="s">
        <v>22</v>
      </c>
      <c r="D964" s="1">
        <v>45933</v>
      </c>
      <c r="H964" t="s">
        <v>23</v>
      </c>
      <c r="I964" s="2" t="s">
        <v>24</v>
      </c>
    </row>
    <row r="965" spans="1:14" x14ac:dyDescent="0.5">
      <c r="A965" t="s">
        <v>991</v>
      </c>
      <c r="B965" t="s">
        <v>19</v>
      </c>
      <c r="C965" t="s">
        <v>30</v>
      </c>
      <c r="D965" s="1">
        <v>45941</v>
      </c>
      <c r="E965" s="1">
        <v>45943</v>
      </c>
      <c r="F965" s="1">
        <v>45946</v>
      </c>
      <c r="G965" s="1">
        <v>45948</v>
      </c>
      <c r="H965" t="s">
        <v>17</v>
      </c>
      <c r="J965" s="1">
        <v>45976</v>
      </c>
      <c r="K965" s="7">
        <v>2</v>
      </c>
      <c r="L965" s="7">
        <v>3</v>
      </c>
      <c r="M965" s="7">
        <v>2</v>
      </c>
      <c r="N965" s="7">
        <v>3</v>
      </c>
    </row>
    <row r="966" spans="1:14" x14ac:dyDescent="0.5">
      <c r="A966" t="s">
        <v>992</v>
      </c>
      <c r="B966" t="s">
        <v>15</v>
      </c>
      <c r="C966" t="s">
        <v>16</v>
      </c>
      <c r="D966" s="1">
        <v>45950</v>
      </c>
      <c r="E966" s="1">
        <v>45952</v>
      </c>
      <c r="F966" s="1">
        <v>45955</v>
      </c>
      <c r="G966" s="1">
        <v>45958</v>
      </c>
      <c r="H966" t="s">
        <v>17</v>
      </c>
      <c r="J966" s="1">
        <v>45983</v>
      </c>
      <c r="K966" s="7">
        <v>2</v>
      </c>
      <c r="L966" s="7">
        <v>3</v>
      </c>
      <c r="M966" s="7">
        <v>3</v>
      </c>
      <c r="N966" s="7">
        <v>9</v>
      </c>
    </row>
    <row r="967" spans="1:14" x14ac:dyDescent="0.5">
      <c r="A967" t="s">
        <v>993</v>
      </c>
      <c r="B967" t="s">
        <v>21</v>
      </c>
      <c r="C967" t="s">
        <v>16</v>
      </c>
      <c r="D967" s="1">
        <v>45935</v>
      </c>
      <c r="E967" s="1">
        <v>45940</v>
      </c>
      <c r="F967" s="1">
        <v>45944</v>
      </c>
      <c r="G967" s="1">
        <v>45951</v>
      </c>
      <c r="H967" t="s">
        <v>17</v>
      </c>
      <c r="J967" s="1">
        <v>45979</v>
      </c>
      <c r="K967" s="7">
        <v>5</v>
      </c>
      <c r="L967" s="7">
        <v>4</v>
      </c>
      <c r="M967" s="7">
        <v>7</v>
      </c>
      <c r="N967" s="7">
        <v>7</v>
      </c>
    </row>
    <row r="968" spans="1:14" x14ac:dyDescent="0.5">
      <c r="A968" t="s">
        <v>994</v>
      </c>
      <c r="B968" t="s">
        <v>21</v>
      </c>
      <c r="C968" t="s">
        <v>16</v>
      </c>
      <c r="D968" s="1">
        <v>45933</v>
      </c>
      <c r="E968" s="1">
        <v>45938</v>
      </c>
      <c r="F968" s="1">
        <v>45940</v>
      </c>
      <c r="G968" s="1">
        <v>45943</v>
      </c>
      <c r="H968" t="s">
        <v>17</v>
      </c>
      <c r="J968" s="1">
        <v>45967</v>
      </c>
      <c r="K968" s="7">
        <v>5</v>
      </c>
      <c r="L968" s="7">
        <v>2</v>
      </c>
      <c r="M968" s="7">
        <v>3</v>
      </c>
      <c r="N968" s="7">
        <v>4</v>
      </c>
    </row>
    <row r="969" spans="1:14" x14ac:dyDescent="0.5">
      <c r="A969" t="s">
        <v>995</v>
      </c>
      <c r="B969" t="s">
        <v>21</v>
      </c>
      <c r="C969" t="s">
        <v>16</v>
      </c>
      <c r="D969" s="1">
        <v>45935</v>
      </c>
      <c r="E969" s="1">
        <v>45939</v>
      </c>
      <c r="F969" s="1">
        <v>45944</v>
      </c>
      <c r="G969" s="1">
        <v>45948</v>
      </c>
      <c r="H969" t="s">
        <v>17</v>
      </c>
      <c r="J969" s="1">
        <v>45963</v>
      </c>
      <c r="K969" s="7">
        <v>4</v>
      </c>
      <c r="L969" s="7">
        <v>5</v>
      </c>
      <c r="M969" s="7">
        <v>4</v>
      </c>
      <c r="N969" s="7">
        <v>7</v>
      </c>
    </row>
    <row r="970" spans="1:14" ht="36" x14ac:dyDescent="0.5">
      <c r="A970" t="s">
        <v>996</v>
      </c>
      <c r="B970" t="s">
        <v>19</v>
      </c>
      <c r="C970" t="s">
        <v>22</v>
      </c>
      <c r="D970" s="1">
        <v>45939</v>
      </c>
      <c r="H970" t="s">
        <v>23</v>
      </c>
      <c r="I970" s="2" t="s">
        <v>63</v>
      </c>
    </row>
    <row r="971" spans="1:14" x14ac:dyDescent="0.5">
      <c r="A971" t="s">
        <v>997</v>
      </c>
      <c r="B971" t="s">
        <v>15</v>
      </c>
      <c r="C971" t="s">
        <v>16</v>
      </c>
      <c r="D971" s="1">
        <v>45950</v>
      </c>
      <c r="E971" s="1">
        <v>45955</v>
      </c>
      <c r="F971" s="1">
        <v>45959</v>
      </c>
      <c r="G971" s="1">
        <v>45965</v>
      </c>
      <c r="H971" t="s">
        <v>17</v>
      </c>
      <c r="J971" s="1">
        <v>45994</v>
      </c>
      <c r="K971" s="7">
        <v>5</v>
      </c>
      <c r="L971" s="7">
        <v>4</v>
      </c>
      <c r="M971" s="7">
        <v>6</v>
      </c>
      <c r="N971" s="7">
        <v>6</v>
      </c>
    </row>
    <row r="972" spans="1:14" x14ac:dyDescent="0.5">
      <c r="A972" t="s">
        <v>998</v>
      </c>
      <c r="B972" t="s">
        <v>32</v>
      </c>
      <c r="C972" t="s">
        <v>30</v>
      </c>
      <c r="D972" s="1">
        <v>45951</v>
      </c>
      <c r="E972" s="1">
        <v>45952</v>
      </c>
      <c r="F972" s="1">
        <v>45955</v>
      </c>
      <c r="G972" s="1">
        <v>45962</v>
      </c>
      <c r="H972" t="s">
        <v>17</v>
      </c>
      <c r="J972" s="1">
        <v>45984</v>
      </c>
      <c r="K972" s="7">
        <v>1</v>
      </c>
      <c r="L972" s="7">
        <v>3</v>
      </c>
      <c r="M972" s="7">
        <v>7</v>
      </c>
      <c r="N972" s="7">
        <v>10</v>
      </c>
    </row>
    <row r="973" spans="1:14" x14ac:dyDescent="0.5">
      <c r="A973" t="s">
        <v>999</v>
      </c>
      <c r="B973" t="s">
        <v>32</v>
      </c>
      <c r="C973" t="s">
        <v>22</v>
      </c>
      <c r="D973" s="1">
        <v>45949</v>
      </c>
      <c r="H973" t="s">
        <v>23</v>
      </c>
      <c r="I973" s="2" t="s">
        <v>101</v>
      </c>
    </row>
    <row r="974" spans="1:14" x14ac:dyDescent="0.5">
      <c r="A974" t="s">
        <v>1000</v>
      </c>
      <c r="B974" t="s">
        <v>21</v>
      </c>
      <c r="C974" t="s">
        <v>30</v>
      </c>
      <c r="D974" s="1">
        <v>45948</v>
      </c>
      <c r="E974" s="1">
        <v>45949</v>
      </c>
      <c r="F974" s="1">
        <v>45953</v>
      </c>
      <c r="G974" s="1">
        <v>45955</v>
      </c>
      <c r="H974" t="s">
        <v>17</v>
      </c>
      <c r="J974" s="1">
        <v>45976</v>
      </c>
      <c r="K974" s="7">
        <v>1</v>
      </c>
      <c r="L974" s="7">
        <v>4</v>
      </c>
      <c r="M974" s="7">
        <v>2</v>
      </c>
      <c r="N974" s="7">
        <v>10</v>
      </c>
    </row>
    <row r="975" spans="1:14" x14ac:dyDescent="0.5">
      <c r="A975" t="s">
        <v>1001</v>
      </c>
      <c r="B975" t="s">
        <v>19</v>
      </c>
      <c r="C975" t="s">
        <v>16</v>
      </c>
      <c r="D975" s="1">
        <v>45953</v>
      </c>
      <c r="E975" s="1">
        <v>45954</v>
      </c>
      <c r="F975" s="1">
        <v>45955</v>
      </c>
      <c r="G975" s="1">
        <v>45958</v>
      </c>
      <c r="H975" t="s">
        <v>17</v>
      </c>
      <c r="J975" s="1">
        <v>45987</v>
      </c>
      <c r="K975" s="7">
        <v>1</v>
      </c>
      <c r="L975" s="7">
        <v>1</v>
      </c>
      <c r="M975" s="7">
        <v>3</v>
      </c>
      <c r="N975" s="7">
        <v>9</v>
      </c>
    </row>
    <row r="976" spans="1:14" x14ac:dyDescent="0.5">
      <c r="A976" t="s">
        <v>1002</v>
      </c>
      <c r="B976" t="s">
        <v>19</v>
      </c>
      <c r="C976" t="s">
        <v>16</v>
      </c>
      <c r="D976" s="1">
        <v>45941</v>
      </c>
      <c r="E976" s="1">
        <v>45943</v>
      </c>
      <c r="F976" s="1">
        <v>45947</v>
      </c>
      <c r="G976" s="1">
        <v>45953</v>
      </c>
      <c r="H976" t="s">
        <v>17</v>
      </c>
      <c r="J976" s="1">
        <v>45963</v>
      </c>
      <c r="K976" s="7">
        <v>2</v>
      </c>
      <c r="L976" s="7">
        <v>4</v>
      </c>
      <c r="M976" s="7">
        <v>6</v>
      </c>
      <c r="N976" s="7">
        <v>7</v>
      </c>
    </row>
    <row r="977" spans="1:14" ht="36" x14ac:dyDescent="0.5">
      <c r="A977" t="s">
        <v>1003</v>
      </c>
      <c r="B977" t="s">
        <v>19</v>
      </c>
      <c r="C977" t="s">
        <v>16</v>
      </c>
      <c r="D977" s="1">
        <v>45943</v>
      </c>
      <c r="E977" s="1">
        <v>45946</v>
      </c>
      <c r="F977" s="1">
        <v>45950</v>
      </c>
      <c r="G977" s="1">
        <v>45955</v>
      </c>
      <c r="H977" t="s">
        <v>23</v>
      </c>
      <c r="I977" s="2" t="s">
        <v>26</v>
      </c>
      <c r="K977" s="7">
        <v>3</v>
      </c>
      <c r="L977" s="7">
        <v>4</v>
      </c>
      <c r="M977" s="7">
        <v>5</v>
      </c>
    </row>
    <row r="978" spans="1:14" x14ac:dyDescent="0.5">
      <c r="A978" t="s">
        <v>1004</v>
      </c>
      <c r="B978" t="s">
        <v>32</v>
      </c>
      <c r="C978" t="s">
        <v>16</v>
      </c>
      <c r="D978" s="1">
        <v>45950</v>
      </c>
      <c r="E978" s="1">
        <v>45954</v>
      </c>
      <c r="F978" s="1">
        <v>45957</v>
      </c>
      <c r="G978" s="1">
        <v>45961</v>
      </c>
      <c r="H978" t="s">
        <v>23</v>
      </c>
      <c r="I978" s="2" t="s">
        <v>101</v>
      </c>
      <c r="K978" s="7">
        <v>4</v>
      </c>
      <c r="L978" s="7">
        <v>3</v>
      </c>
      <c r="M978" s="7">
        <v>4</v>
      </c>
    </row>
    <row r="979" spans="1:14" ht="36" x14ac:dyDescent="0.5">
      <c r="A979" t="s">
        <v>1005</v>
      </c>
      <c r="B979" t="s">
        <v>21</v>
      </c>
      <c r="C979" t="s">
        <v>22</v>
      </c>
      <c r="D979" s="1">
        <v>45947</v>
      </c>
      <c r="H979" t="s">
        <v>23</v>
      </c>
      <c r="I979" s="2" t="s">
        <v>63</v>
      </c>
    </row>
    <row r="980" spans="1:14" x14ac:dyDescent="0.5">
      <c r="A980" t="s">
        <v>1006</v>
      </c>
      <c r="B980" t="s">
        <v>15</v>
      </c>
      <c r="C980" t="s">
        <v>16</v>
      </c>
      <c r="D980" s="1">
        <v>45940</v>
      </c>
      <c r="E980" s="1">
        <v>45945</v>
      </c>
      <c r="F980" s="1">
        <v>45946</v>
      </c>
      <c r="G980" s="1">
        <v>45949</v>
      </c>
      <c r="H980" t="s">
        <v>17</v>
      </c>
      <c r="J980" s="1">
        <v>45963</v>
      </c>
      <c r="K980" s="7">
        <v>5</v>
      </c>
      <c r="L980" s="7">
        <v>1</v>
      </c>
      <c r="M980" s="7">
        <v>3</v>
      </c>
      <c r="N980" s="7">
        <v>8</v>
      </c>
    </row>
    <row r="981" spans="1:14" x14ac:dyDescent="0.5">
      <c r="A981" t="s">
        <v>1007</v>
      </c>
      <c r="B981" t="s">
        <v>32</v>
      </c>
      <c r="C981" t="s">
        <v>16</v>
      </c>
      <c r="D981" s="1">
        <v>45945</v>
      </c>
      <c r="E981" s="1">
        <v>45949</v>
      </c>
      <c r="F981" s="1">
        <v>45952</v>
      </c>
      <c r="G981" s="1">
        <v>45955</v>
      </c>
      <c r="H981" t="s">
        <v>17</v>
      </c>
      <c r="J981" s="1">
        <v>45980</v>
      </c>
      <c r="K981" s="7">
        <v>4</v>
      </c>
      <c r="L981" s="7">
        <v>3</v>
      </c>
      <c r="M981" s="7">
        <v>3</v>
      </c>
      <c r="N981" s="7">
        <v>5</v>
      </c>
    </row>
    <row r="982" spans="1:14" x14ac:dyDescent="0.5">
      <c r="A982" t="s">
        <v>1008</v>
      </c>
      <c r="B982" t="s">
        <v>21</v>
      </c>
      <c r="C982" t="s">
        <v>30</v>
      </c>
      <c r="D982" s="1">
        <v>45947</v>
      </c>
      <c r="E982" s="1">
        <v>45949</v>
      </c>
      <c r="F982" s="1">
        <v>45950</v>
      </c>
      <c r="G982" s="1">
        <v>45953</v>
      </c>
      <c r="H982" t="s">
        <v>17</v>
      </c>
      <c r="J982" s="1">
        <v>45978</v>
      </c>
      <c r="K982" s="7">
        <v>2</v>
      </c>
      <c r="L982" s="7">
        <v>1</v>
      </c>
      <c r="M982" s="7">
        <v>3</v>
      </c>
      <c r="N982" s="7">
        <v>0</v>
      </c>
    </row>
    <row r="983" spans="1:14" x14ac:dyDescent="0.5">
      <c r="A983" t="s">
        <v>1009</v>
      </c>
      <c r="B983" t="s">
        <v>21</v>
      </c>
      <c r="C983" t="s">
        <v>22</v>
      </c>
      <c r="D983" s="1">
        <v>45950</v>
      </c>
      <c r="H983" t="s">
        <v>23</v>
      </c>
      <c r="I983" s="2" t="s">
        <v>24</v>
      </c>
    </row>
    <row r="984" spans="1:14" ht="36" x14ac:dyDescent="0.5">
      <c r="A984" t="s">
        <v>1010</v>
      </c>
      <c r="B984" t="s">
        <v>15</v>
      </c>
      <c r="C984" t="s">
        <v>22</v>
      </c>
      <c r="D984" s="1">
        <v>45944</v>
      </c>
      <c r="H984" t="s">
        <v>23</v>
      </c>
      <c r="I984" s="2" t="s">
        <v>63</v>
      </c>
    </row>
    <row r="985" spans="1:14" x14ac:dyDescent="0.5">
      <c r="A985" t="s">
        <v>1011</v>
      </c>
      <c r="B985" t="s">
        <v>15</v>
      </c>
      <c r="C985" t="s">
        <v>16</v>
      </c>
      <c r="D985" s="1">
        <v>45934</v>
      </c>
      <c r="E985" s="1">
        <v>45939</v>
      </c>
      <c r="F985" s="1">
        <v>45940</v>
      </c>
      <c r="G985" s="1">
        <v>45946</v>
      </c>
      <c r="H985" t="s">
        <v>17</v>
      </c>
      <c r="J985" s="1">
        <v>45959</v>
      </c>
      <c r="K985" s="7">
        <v>5</v>
      </c>
      <c r="L985" s="7">
        <v>1</v>
      </c>
      <c r="M985" s="7">
        <v>6</v>
      </c>
      <c r="N985" s="7">
        <v>2</v>
      </c>
    </row>
    <row r="986" spans="1:14" x14ac:dyDescent="0.5">
      <c r="A986" t="s">
        <v>1012</v>
      </c>
      <c r="B986" t="s">
        <v>15</v>
      </c>
      <c r="C986" t="s">
        <v>30</v>
      </c>
      <c r="D986" s="1">
        <v>45956</v>
      </c>
      <c r="E986" s="1">
        <v>45961</v>
      </c>
      <c r="F986" s="1">
        <v>45962</v>
      </c>
      <c r="G986" s="1">
        <v>45966</v>
      </c>
      <c r="H986" t="s">
        <v>17</v>
      </c>
      <c r="J986" s="1">
        <v>45989</v>
      </c>
      <c r="K986" s="7">
        <v>5</v>
      </c>
      <c r="L986" s="7">
        <v>1</v>
      </c>
      <c r="M986" s="7">
        <v>4</v>
      </c>
      <c r="N986" s="7">
        <v>2</v>
      </c>
    </row>
    <row r="987" spans="1:14" x14ac:dyDescent="0.5">
      <c r="A987" t="s">
        <v>1013</v>
      </c>
      <c r="B987" t="s">
        <v>19</v>
      </c>
      <c r="C987" t="s">
        <v>30</v>
      </c>
      <c r="D987" s="1">
        <v>45953</v>
      </c>
      <c r="E987" s="1">
        <v>45955</v>
      </c>
      <c r="F987" s="1">
        <v>45958</v>
      </c>
      <c r="G987" s="1">
        <v>45965</v>
      </c>
      <c r="H987" t="s">
        <v>17</v>
      </c>
      <c r="J987" s="1">
        <v>45989</v>
      </c>
      <c r="K987" s="7">
        <v>2</v>
      </c>
      <c r="L987" s="7">
        <v>3</v>
      </c>
      <c r="M987" s="7">
        <v>7</v>
      </c>
      <c r="N987" s="7">
        <v>7</v>
      </c>
    </row>
    <row r="988" spans="1:14" x14ac:dyDescent="0.5">
      <c r="A988" t="s">
        <v>1014</v>
      </c>
      <c r="B988" t="s">
        <v>15</v>
      </c>
      <c r="C988" t="s">
        <v>30</v>
      </c>
      <c r="D988" s="1">
        <v>45934</v>
      </c>
      <c r="E988" s="1">
        <v>45937</v>
      </c>
      <c r="F988" s="1">
        <v>45938</v>
      </c>
      <c r="G988" s="1">
        <v>45945</v>
      </c>
      <c r="H988" t="s">
        <v>17</v>
      </c>
      <c r="J988" s="1">
        <v>45956</v>
      </c>
      <c r="K988" s="7">
        <v>3</v>
      </c>
      <c r="L988" s="7">
        <v>1</v>
      </c>
      <c r="M988" s="7">
        <v>7</v>
      </c>
      <c r="N988" s="7">
        <v>8</v>
      </c>
    </row>
    <row r="989" spans="1:14" x14ac:dyDescent="0.5">
      <c r="A989" t="s">
        <v>1015</v>
      </c>
      <c r="B989" t="s">
        <v>21</v>
      </c>
      <c r="C989" t="s">
        <v>30</v>
      </c>
      <c r="D989" s="1">
        <v>45958</v>
      </c>
      <c r="E989" s="1">
        <v>45963</v>
      </c>
      <c r="F989" s="1">
        <v>45965</v>
      </c>
      <c r="G989" s="1">
        <v>45969</v>
      </c>
      <c r="H989" t="s">
        <v>17</v>
      </c>
      <c r="J989" s="1">
        <v>45981</v>
      </c>
      <c r="K989" s="7">
        <v>5</v>
      </c>
      <c r="L989" s="7">
        <v>2</v>
      </c>
      <c r="M989" s="7">
        <v>4</v>
      </c>
      <c r="N989" s="7">
        <v>0</v>
      </c>
    </row>
    <row r="990" spans="1:14" x14ac:dyDescent="0.5">
      <c r="A990" t="s">
        <v>1016</v>
      </c>
      <c r="B990" t="s">
        <v>15</v>
      </c>
      <c r="C990" t="s">
        <v>16</v>
      </c>
      <c r="D990" s="1">
        <v>45951</v>
      </c>
      <c r="E990" s="1">
        <v>45954</v>
      </c>
      <c r="F990" s="1">
        <v>45956</v>
      </c>
      <c r="G990" s="1">
        <v>45962</v>
      </c>
      <c r="H990" t="s">
        <v>17</v>
      </c>
      <c r="J990" s="1">
        <v>45980</v>
      </c>
      <c r="K990" s="7">
        <v>3</v>
      </c>
      <c r="L990" s="7">
        <v>2</v>
      </c>
      <c r="M990" s="7">
        <v>6</v>
      </c>
      <c r="N990" s="7">
        <v>4</v>
      </c>
    </row>
    <row r="991" spans="1:14" ht="36" x14ac:dyDescent="0.5">
      <c r="A991" t="s">
        <v>1017</v>
      </c>
      <c r="B991" t="s">
        <v>21</v>
      </c>
      <c r="C991" t="s">
        <v>22</v>
      </c>
      <c r="D991" s="1">
        <v>45951</v>
      </c>
      <c r="H991" t="s">
        <v>23</v>
      </c>
      <c r="I991" s="2" t="s">
        <v>26</v>
      </c>
    </row>
    <row r="992" spans="1:14" x14ac:dyDescent="0.5">
      <c r="A992" t="s">
        <v>1018</v>
      </c>
      <c r="B992" t="s">
        <v>32</v>
      </c>
      <c r="C992" t="s">
        <v>16</v>
      </c>
      <c r="D992" s="1">
        <v>45959</v>
      </c>
      <c r="E992" s="1">
        <v>45961</v>
      </c>
      <c r="F992" s="1">
        <v>45966</v>
      </c>
      <c r="G992" s="1">
        <v>45968</v>
      </c>
      <c r="H992" t="s">
        <v>17</v>
      </c>
      <c r="J992" s="1">
        <v>45998</v>
      </c>
      <c r="K992" s="7">
        <v>2</v>
      </c>
      <c r="L992" s="7">
        <v>5</v>
      </c>
      <c r="M992" s="7">
        <v>2</v>
      </c>
      <c r="N992" s="7">
        <v>6</v>
      </c>
    </row>
    <row r="993" spans="1:14" x14ac:dyDescent="0.5">
      <c r="A993" t="s">
        <v>1019</v>
      </c>
      <c r="B993" t="s">
        <v>19</v>
      </c>
      <c r="C993" t="s">
        <v>30</v>
      </c>
      <c r="D993" s="1">
        <v>45955</v>
      </c>
      <c r="E993" s="1">
        <v>45959</v>
      </c>
      <c r="F993" s="1">
        <v>45961</v>
      </c>
      <c r="G993" s="1">
        <v>45968</v>
      </c>
      <c r="H993" t="s">
        <v>17</v>
      </c>
      <c r="J993" s="1">
        <v>45988</v>
      </c>
      <c r="K993" s="7">
        <v>4</v>
      </c>
      <c r="L993" s="7">
        <v>2</v>
      </c>
      <c r="M993" s="7">
        <v>7</v>
      </c>
      <c r="N993" s="7">
        <v>3</v>
      </c>
    </row>
    <row r="994" spans="1:14" x14ac:dyDescent="0.5">
      <c r="A994" t="s">
        <v>1020</v>
      </c>
      <c r="B994" t="s">
        <v>32</v>
      </c>
      <c r="C994" t="s">
        <v>30</v>
      </c>
      <c r="D994" s="1">
        <v>45948</v>
      </c>
      <c r="E994" s="1">
        <v>45953</v>
      </c>
      <c r="F994" s="1">
        <v>45958</v>
      </c>
      <c r="G994" s="1">
        <v>45965</v>
      </c>
      <c r="H994" t="s">
        <v>17</v>
      </c>
      <c r="J994" s="1">
        <v>45975</v>
      </c>
      <c r="K994" s="7">
        <v>5</v>
      </c>
      <c r="L994" s="7">
        <v>5</v>
      </c>
      <c r="M994" s="7">
        <v>7</v>
      </c>
      <c r="N994" s="7">
        <v>5</v>
      </c>
    </row>
    <row r="995" spans="1:14" x14ac:dyDescent="0.5">
      <c r="A995" t="s">
        <v>1021</v>
      </c>
      <c r="B995" t="s">
        <v>32</v>
      </c>
      <c r="C995" t="s">
        <v>30</v>
      </c>
      <c r="D995" s="1">
        <v>45954</v>
      </c>
      <c r="E995" s="1">
        <v>45957</v>
      </c>
      <c r="F995" s="1">
        <v>45959</v>
      </c>
      <c r="G995" s="1">
        <v>45963</v>
      </c>
      <c r="H995" t="s">
        <v>17</v>
      </c>
      <c r="J995" s="1">
        <v>45989</v>
      </c>
      <c r="K995" s="7">
        <v>3</v>
      </c>
      <c r="L995" s="7">
        <v>2</v>
      </c>
      <c r="M995" s="7">
        <v>4</v>
      </c>
      <c r="N995" s="7">
        <v>7</v>
      </c>
    </row>
    <row r="996" spans="1:14" x14ac:dyDescent="0.5">
      <c r="A996" t="s">
        <v>1022</v>
      </c>
      <c r="B996" t="s">
        <v>21</v>
      </c>
      <c r="C996" t="s">
        <v>30</v>
      </c>
      <c r="D996" s="1">
        <v>45958</v>
      </c>
      <c r="E996" s="1">
        <v>45963</v>
      </c>
      <c r="F996" s="1">
        <v>45966</v>
      </c>
      <c r="G996" s="1">
        <v>45972</v>
      </c>
      <c r="H996" t="s">
        <v>17</v>
      </c>
      <c r="J996" s="1">
        <v>46000</v>
      </c>
      <c r="K996" s="7">
        <v>5</v>
      </c>
      <c r="L996" s="7">
        <v>3</v>
      </c>
      <c r="M996" s="7">
        <v>6</v>
      </c>
      <c r="N996" s="7">
        <v>1</v>
      </c>
    </row>
    <row r="997" spans="1:14" x14ac:dyDescent="0.5">
      <c r="A997" t="s">
        <v>1023</v>
      </c>
      <c r="B997" t="s">
        <v>32</v>
      </c>
      <c r="C997" t="s">
        <v>30</v>
      </c>
      <c r="D997" s="1">
        <v>45937</v>
      </c>
      <c r="E997" s="1">
        <v>45940</v>
      </c>
      <c r="F997" s="1">
        <v>45945</v>
      </c>
      <c r="G997" s="1">
        <v>45951</v>
      </c>
      <c r="H997" t="s">
        <v>17</v>
      </c>
      <c r="J997" s="1">
        <v>45979</v>
      </c>
      <c r="K997" s="7">
        <v>3</v>
      </c>
      <c r="L997" s="7">
        <v>5</v>
      </c>
      <c r="M997" s="7">
        <v>6</v>
      </c>
      <c r="N997" s="7">
        <v>5</v>
      </c>
    </row>
    <row r="998" spans="1:14" x14ac:dyDescent="0.5">
      <c r="A998" t="s">
        <v>1024</v>
      </c>
      <c r="B998" t="s">
        <v>21</v>
      </c>
      <c r="C998" t="s">
        <v>30</v>
      </c>
      <c r="D998" s="1">
        <v>45944</v>
      </c>
      <c r="E998" s="1">
        <v>45949</v>
      </c>
      <c r="F998" s="1">
        <v>45953</v>
      </c>
      <c r="G998" s="1">
        <v>45956</v>
      </c>
      <c r="H998" t="s">
        <v>17</v>
      </c>
      <c r="J998" s="1">
        <v>45973</v>
      </c>
      <c r="K998" s="7">
        <v>5</v>
      </c>
      <c r="L998" s="7">
        <v>4</v>
      </c>
      <c r="M998" s="7">
        <v>3</v>
      </c>
      <c r="N998" s="7">
        <v>7</v>
      </c>
    </row>
    <row r="999" spans="1:14" x14ac:dyDescent="0.5">
      <c r="A999" t="s">
        <v>1025</v>
      </c>
      <c r="B999" t="s">
        <v>15</v>
      </c>
      <c r="C999" t="s">
        <v>16</v>
      </c>
      <c r="D999" s="1">
        <v>45945</v>
      </c>
      <c r="E999" s="1">
        <v>45950</v>
      </c>
      <c r="F999" s="1">
        <v>45954</v>
      </c>
      <c r="G999" s="1">
        <v>45960</v>
      </c>
      <c r="H999" t="s">
        <v>17</v>
      </c>
      <c r="J999" s="1">
        <v>45980</v>
      </c>
      <c r="K999" s="7">
        <v>5</v>
      </c>
      <c r="L999" s="7">
        <v>4</v>
      </c>
      <c r="M999" s="7">
        <v>6</v>
      </c>
      <c r="N999" s="7">
        <v>3</v>
      </c>
    </row>
    <row r="1000" spans="1:14" ht="36" x14ac:dyDescent="0.5">
      <c r="A1000" t="s">
        <v>1026</v>
      </c>
      <c r="B1000" t="s">
        <v>15</v>
      </c>
      <c r="C1000" t="s">
        <v>22</v>
      </c>
      <c r="D1000" s="1">
        <v>45959</v>
      </c>
      <c r="H1000" t="s">
        <v>23</v>
      </c>
      <c r="I1000" s="2" t="s">
        <v>33</v>
      </c>
    </row>
    <row r="1001" spans="1:14" x14ac:dyDescent="0.5">
      <c r="A1001" t="s">
        <v>1027</v>
      </c>
      <c r="B1001" t="s">
        <v>21</v>
      </c>
      <c r="C1001" t="s">
        <v>16</v>
      </c>
      <c r="D1001" s="1">
        <v>45938</v>
      </c>
      <c r="E1001" s="1">
        <v>45943</v>
      </c>
      <c r="F1001" s="1">
        <v>45945</v>
      </c>
      <c r="G1001" s="1">
        <v>45948</v>
      </c>
      <c r="H1001" t="s">
        <v>17</v>
      </c>
      <c r="J1001" s="1">
        <v>45974</v>
      </c>
      <c r="K1001" s="7">
        <v>5</v>
      </c>
      <c r="L1001" s="7">
        <v>2</v>
      </c>
      <c r="M1001" s="7">
        <v>3</v>
      </c>
      <c r="N1001" s="7">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C22A-95C7-49AD-917D-75567F7876E9}">
  <dimension ref="A2:I8"/>
  <sheetViews>
    <sheetView workbookViewId="0">
      <selection activeCell="F6" sqref="F6"/>
    </sheetView>
  </sheetViews>
  <sheetFormatPr defaultRowHeight="18" x14ac:dyDescent="0.5"/>
  <cols>
    <col min="1" max="1" width="19.109375" customWidth="1"/>
    <col min="2" max="2" width="12.88671875" customWidth="1"/>
    <col min="3" max="3" width="14.21875" customWidth="1"/>
    <col min="4" max="4" width="12" customWidth="1"/>
    <col min="6" max="6" width="17.5546875" bestFit="1" customWidth="1"/>
    <col min="7" max="7" width="27.33203125" bestFit="1" customWidth="1"/>
    <col min="8" max="8" width="23.21875" bestFit="1" customWidth="1"/>
    <col min="9" max="9" width="23.109375" bestFit="1" customWidth="1"/>
  </cols>
  <sheetData>
    <row r="2" spans="1:9" ht="47.4" customHeight="1" x14ac:dyDescent="0.5">
      <c r="A2" s="23" t="s">
        <v>1047</v>
      </c>
      <c r="B2" s="24"/>
      <c r="C2" s="24"/>
      <c r="D2" s="24"/>
    </row>
    <row r="4" spans="1:9" x14ac:dyDescent="0.5">
      <c r="A4" t="s">
        <v>1035</v>
      </c>
      <c r="B4" t="s">
        <v>1040</v>
      </c>
      <c r="C4" t="s">
        <v>1041</v>
      </c>
      <c r="D4" t="s">
        <v>1042</v>
      </c>
      <c r="F4" s="4" t="s">
        <v>0</v>
      </c>
      <c r="G4" t="s">
        <v>1046</v>
      </c>
    </row>
    <row r="5" spans="1:9" x14ac:dyDescent="0.5">
      <c r="A5" t="s">
        <v>1036</v>
      </c>
      <c r="B5">
        <v>1000</v>
      </c>
      <c r="D5">
        <v>0</v>
      </c>
    </row>
    <row r="6" spans="1:9" x14ac:dyDescent="0.5">
      <c r="A6" t="s">
        <v>1037</v>
      </c>
      <c r="B6">
        <v>812</v>
      </c>
      <c r="C6">
        <f>(B6/B5)*100</f>
        <v>81.2</v>
      </c>
      <c r="D6">
        <f>(1-(B6/B5))*100</f>
        <v>18.799999999999994</v>
      </c>
      <c r="F6" t="s">
        <v>1029</v>
      </c>
      <c r="G6" t="s">
        <v>1043</v>
      </c>
      <c r="H6" t="s">
        <v>1044</v>
      </c>
      <c r="I6" t="s">
        <v>1045</v>
      </c>
    </row>
    <row r="7" spans="1:9" x14ac:dyDescent="0.5">
      <c r="A7" t="s">
        <v>1038</v>
      </c>
      <c r="B7">
        <v>812</v>
      </c>
      <c r="C7">
        <f>(B7/B6)*100</f>
        <v>100</v>
      </c>
      <c r="D7">
        <f>(1-(B7/B6))*100</f>
        <v>0</v>
      </c>
      <c r="F7">
        <v>1000</v>
      </c>
      <c r="G7">
        <v>812</v>
      </c>
      <c r="H7">
        <v>812</v>
      </c>
      <c r="I7">
        <v>812</v>
      </c>
    </row>
    <row r="8" spans="1:9" x14ac:dyDescent="0.5">
      <c r="A8" t="s">
        <v>1039</v>
      </c>
      <c r="B8">
        <v>812</v>
      </c>
      <c r="C8">
        <f>(B8/B7)*100</f>
        <v>100</v>
      </c>
      <c r="D8">
        <f>(1-(B8/B7))*100</f>
        <v>0</v>
      </c>
    </row>
  </sheetData>
  <mergeCells count="1">
    <mergeCell ref="A2:D2"/>
  </mergeCell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5066-E11F-40C2-8AC9-B52B7800CFDC}">
  <dimension ref="A3:O34"/>
  <sheetViews>
    <sheetView topLeftCell="A4" workbookViewId="0">
      <selection activeCell="A20" sqref="A20"/>
    </sheetView>
  </sheetViews>
  <sheetFormatPr defaultRowHeight="18" x14ac:dyDescent="0.5"/>
  <cols>
    <col min="1" max="1" width="14" bestFit="1" customWidth="1"/>
    <col min="2" max="2" width="12.21875" bestFit="1" customWidth="1"/>
    <col min="3" max="3" width="12.88671875" bestFit="1" customWidth="1"/>
    <col min="4" max="4" width="8.88671875" bestFit="1" customWidth="1"/>
    <col min="5" max="5" width="8.77734375" bestFit="1" customWidth="1"/>
    <col min="6" max="6" width="13.109375" bestFit="1" customWidth="1"/>
    <col min="7" max="7" width="11.33203125" bestFit="1" customWidth="1"/>
    <col min="8" max="8" width="14.21875" customWidth="1"/>
    <col min="9" max="9" width="15.109375" customWidth="1"/>
    <col min="11" max="11" width="12.5546875" customWidth="1"/>
    <col min="12" max="12" width="23" customWidth="1"/>
    <col min="14" max="14" width="10.6640625" customWidth="1"/>
  </cols>
  <sheetData>
    <row r="3" spans="1:9" x14ac:dyDescent="0.5">
      <c r="A3" s="4" t="s">
        <v>1028</v>
      </c>
      <c r="B3" t="s">
        <v>1051</v>
      </c>
      <c r="C3" t="s">
        <v>1037</v>
      </c>
      <c r="D3" t="s">
        <v>1050</v>
      </c>
      <c r="E3" t="s">
        <v>1039</v>
      </c>
      <c r="F3" t="s">
        <v>1049</v>
      </c>
      <c r="G3" t="s">
        <v>1052</v>
      </c>
      <c r="H3" s="12"/>
      <c r="I3" s="11"/>
    </row>
    <row r="4" spans="1:9" x14ac:dyDescent="0.5">
      <c r="A4" s="5" t="s">
        <v>15</v>
      </c>
      <c r="B4">
        <v>263</v>
      </c>
      <c r="C4">
        <v>212</v>
      </c>
      <c r="D4">
        <v>212</v>
      </c>
      <c r="E4">
        <v>212</v>
      </c>
      <c r="F4">
        <v>72</v>
      </c>
      <c r="G4" s="9">
        <v>4.670157068062827</v>
      </c>
      <c r="H4" s="8"/>
    </row>
    <row r="5" spans="1:9" x14ac:dyDescent="0.5">
      <c r="A5" s="5" t="s">
        <v>32</v>
      </c>
      <c r="B5">
        <v>212</v>
      </c>
      <c r="C5">
        <v>173</v>
      </c>
      <c r="D5">
        <v>173</v>
      </c>
      <c r="E5">
        <v>173</v>
      </c>
      <c r="F5">
        <v>59</v>
      </c>
      <c r="G5" s="9">
        <v>5.0130718954248366</v>
      </c>
    </row>
    <row r="6" spans="1:9" x14ac:dyDescent="0.5">
      <c r="A6" s="5" t="s">
        <v>19</v>
      </c>
      <c r="B6">
        <v>263</v>
      </c>
      <c r="C6">
        <v>212</v>
      </c>
      <c r="D6">
        <v>212</v>
      </c>
      <c r="E6">
        <v>212</v>
      </c>
      <c r="F6">
        <v>77</v>
      </c>
      <c r="G6" s="9">
        <v>4.897849462365591</v>
      </c>
    </row>
    <row r="7" spans="1:9" x14ac:dyDescent="0.5">
      <c r="A7" s="5" t="s">
        <v>21</v>
      </c>
      <c r="B7">
        <v>262</v>
      </c>
      <c r="C7">
        <v>215</v>
      </c>
      <c r="D7">
        <v>215</v>
      </c>
      <c r="E7">
        <v>215</v>
      </c>
      <c r="F7">
        <v>63</v>
      </c>
      <c r="G7" s="9">
        <v>4.8542713567839195</v>
      </c>
    </row>
    <row r="9" spans="1:9" x14ac:dyDescent="0.5">
      <c r="A9" s="5"/>
      <c r="G9" s="9"/>
    </row>
    <row r="11" spans="1:9" ht="23.4" customHeight="1" x14ac:dyDescent="0.5">
      <c r="A11" s="23" t="s">
        <v>1055</v>
      </c>
      <c r="B11" s="23"/>
      <c r="C11" s="23"/>
      <c r="D11" s="23"/>
      <c r="E11" s="23"/>
      <c r="F11" s="23"/>
      <c r="G11" s="23"/>
      <c r="H11" s="23"/>
      <c r="I11" s="23"/>
    </row>
    <row r="13" spans="1:9" x14ac:dyDescent="0.5">
      <c r="A13" s="10" t="s">
        <v>1028</v>
      </c>
      <c r="B13" s="10" t="s">
        <v>1051</v>
      </c>
      <c r="C13" s="10" t="s">
        <v>1054</v>
      </c>
      <c r="D13" s="10" t="s">
        <v>1050</v>
      </c>
      <c r="E13" s="10" t="s">
        <v>1039</v>
      </c>
      <c r="F13" s="10" t="s">
        <v>1049</v>
      </c>
      <c r="G13" s="10" t="s">
        <v>1052</v>
      </c>
      <c r="H13" s="10" t="s">
        <v>1041</v>
      </c>
      <c r="I13" s="10" t="s">
        <v>1053</v>
      </c>
    </row>
    <row r="14" spans="1:9" x14ac:dyDescent="0.5">
      <c r="A14" t="str">
        <f t="shared" ref="A14:G17" si="0">A4</f>
        <v>Bangalore MBC</v>
      </c>
      <c r="B14">
        <f t="shared" si="0"/>
        <v>263</v>
      </c>
      <c r="C14">
        <f t="shared" si="0"/>
        <v>212</v>
      </c>
      <c r="D14">
        <f t="shared" si="0"/>
        <v>212</v>
      </c>
      <c r="E14">
        <f t="shared" si="0"/>
        <v>212</v>
      </c>
      <c r="F14">
        <f t="shared" si="0"/>
        <v>72</v>
      </c>
      <c r="G14" s="9">
        <f t="shared" si="0"/>
        <v>4.670157068062827</v>
      </c>
      <c r="H14" s="9">
        <f>(E14/B14)*100</f>
        <v>80.608365019011401</v>
      </c>
      <c r="I14" s="9">
        <f>(F14/B14)*100</f>
        <v>27.376425855513308</v>
      </c>
    </row>
    <row r="15" spans="1:9" x14ac:dyDescent="0.5">
      <c r="A15" t="str">
        <f t="shared" si="0"/>
        <v>Chennai MBC</v>
      </c>
      <c r="B15">
        <f t="shared" si="0"/>
        <v>212</v>
      </c>
      <c r="C15">
        <f t="shared" si="0"/>
        <v>173</v>
      </c>
      <c r="D15">
        <f t="shared" si="0"/>
        <v>173</v>
      </c>
      <c r="E15">
        <f t="shared" si="0"/>
        <v>173</v>
      </c>
      <c r="F15">
        <f t="shared" si="0"/>
        <v>59</v>
      </c>
      <c r="G15" s="9">
        <f t="shared" si="0"/>
        <v>5.0130718954248366</v>
      </c>
      <c r="H15" s="9">
        <f>(E15/B15)*100</f>
        <v>81.603773584905653</v>
      </c>
      <c r="I15" s="9">
        <f>(F15/B15)*100</f>
        <v>27.830188679245282</v>
      </c>
    </row>
    <row r="16" spans="1:9" x14ac:dyDescent="0.5">
      <c r="A16" t="str">
        <f t="shared" si="0"/>
        <v>Delhi MBC</v>
      </c>
      <c r="B16">
        <f t="shared" si="0"/>
        <v>263</v>
      </c>
      <c r="C16">
        <f t="shared" si="0"/>
        <v>212</v>
      </c>
      <c r="D16">
        <f t="shared" si="0"/>
        <v>212</v>
      </c>
      <c r="E16">
        <f t="shared" si="0"/>
        <v>212</v>
      </c>
      <c r="F16">
        <f t="shared" si="0"/>
        <v>77</v>
      </c>
      <c r="G16" s="9">
        <f t="shared" si="0"/>
        <v>4.897849462365591</v>
      </c>
      <c r="H16" s="9">
        <f>(E16/B16)*100</f>
        <v>80.608365019011401</v>
      </c>
      <c r="I16" s="9">
        <f>(F16/B16)*100</f>
        <v>29.277566539923956</v>
      </c>
    </row>
    <row r="17" spans="1:15" x14ac:dyDescent="0.5">
      <c r="A17" t="str">
        <f t="shared" si="0"/>
        <v>Mumbai MBC</v>
      </c>
      <c r="B17">
        <f t="shared" si="0"/>
        <v>262</v>
      </c>
      <c r="C17">
        <f t="shared" si="0"/>
        <v>215</v>
      </c>
      <c r="D17">
        <f t="shared" si="0"/>
        <v>215</v>
      </c>
      <c r="E17">
        <f t="shared" si="0"/>
        <v>215</v>
      </c>
      <c r="F17">
        <f t="shared" si="0"/>
        <v>63</v>
      </c>
      <c r="G17" s="9">
        <f t="shared" si="0"/>
        <v>4.8542713567839195</v>
      </c>
      <c r="H17" s="9">
        <f>(E17/B17)*100</f>
        <v>82.061068702290072</v>
      </c>
      <c r="I17" s="9">
        <f>(F17/B17)*100</f>
        <v>24.045801526717558</v>
      </c>
    </row>
    <row r="19" spans="1:15" ht="23.4" customHeight="1" x14ac:dyDescent="0.5">
      <c r="A19" s="23" t="s">
        <v>1058</v>
      </c>
      <c r="B19" s="23"/>
      <c r="C19" s="23"/>
      <c r="D19" s="23"/>
      <c r="E19" s="23"/>
      <c r="F19" s="18"/>
      <c r="G19" s="18"/>
      <c r="H19" s="18"/>
      <c r="I19" s="18"/>
      <c r="K19" s="4" t="s">
        <v>1</v>
      </c>
      <c r="L19" t="s">
        <v>19</v>
      </c>
    </row>
    <row r="20" spans="1:15" ht="36" x14ac:dyDescent="0.5">
      <c r="A20" s="10" t="str">
        <f>A13</f>
        <v>Row Labels</v>
      </c>
      <c r="B20" s="10" t="s">
        <v>1056</v>
      </c>
      <c r="C20" s="10" t="s">
        <v>1057</v>
      </c>
      <c r="D20" s="10" t="s">
        <v>1073</v>
      </c>
      <c r="E20" s="22" t="s">
        <v>1058</v>
      </c>
    </row>
    <row r="21" spans="1:15" x14ac:dyDescent="0.5">
      <c r="A21" t="str">
        <f>A14</f>
        <v>Bangalore MBC</v>
      </c>
      <c r="B21">
        <v>23</v>
      </c>
      <c r="C21">
        <v>134</v>
      </c>
      <c r="D21">
        <v>34</v>
      </c>
      <c r="E21">
        <f>((B21-C21)/SUM(B21:D21)*100)</f>
        <v>-58.1151832460733</v>
      </c>
      <c r="K21" s="4" t="s">
        <v>1028</v>
      </c>
      <c r="L21" t="s">
        <v>1072</v>
      </c>
    </row>
    <row r="22" spans="1:15" x14ac:dyDescent="0.5">
      <c r="A22" t="str">
        <f>A15</f>
        <v>Chennai MBC</v>
      </c>
      <c r="B22">
        <v>28</v>
      </c>
      <c r="C22">
        <v>99</v>
      </c>
      <c r="D22">
        <v>26</v>
      </c>
      <c r="E22">
        <f>((B22-C22)/SUM(B22:D22)*100)</f>
        <v>-46.405228758169933</v>
      </c>
      <c r="K22" s="5">
        <v>0</v>
      </c>
      <c r="L22">
        <v>10</v>
      </c>
      <c r="N22" s="13" t="s">
        <v>1056</v>
      </c>
      <c r="O22">
        <f>SUM(L31:L32)</f>
        <v>30</v>
      </c>
    </row>
    <row r="23" spans="1:15" x14ac:dyDescent="0.5">
      <c r="A23" t="str">
        <f>A16</f>
        <v>Delhi MBC</v>
      </c>
      <c r="B23">
        <v>30</v>
      </c>
      <c r="C23">
        <v>123</v>
      </c>
      <c r="D23">
        <v>33</v>
      </c>
      <c r="E23">
        <f>((B23-C23)/SUM(B23:D23)*100)</f>
        <v>-50</v>
      </c>
      <c r="K23" s="5">
        <v>1</v>
      </c>
      <c r="L23">
        <v>21</v>
      </c>
      <c r="N23" s="13" t="s">
        <v>1057</v>
      </c>
      <c r="O23">
        <f>SUM(L22:L28)</f>
        <v>123</v>
      </c>
    </row>
    <row r="24" spans="1:15" x14ac:dyDescent="0.5">
      <c r="A24" t="str">
        <f>A17</f>
        <v>Mumbai MBC</v>
      </c>
      <c r="B24">
        <v>23</v>
      </c>
      <c r="C24">
        <v>138</v>
      </c>
      <c r="D24">
        <v>38</v>
      </c>
      <c r="E24">
        <f>((B24-C24)/SUM(B24:D24)*100)</f>
        <v>-57.788944723618087</v>
      </c>
      <c r="K24" s="5">
        <v>2</v>
      </c>
      <c r="L24">
        <v>21</v>
      </c>
      <c r="N24" s="13" t="s">
        <v>1073</v>
      </c>
      <c r="O24">
        <f>SUM(L29:L30)</f>
        <v>33</v>
      </c>
    </row>
    <row r="25" spans="1:15" x14ac:dyDescent="0.5">
      <c r="K25" s="5">
        <v>3</v>
      </c>
      <c r="L25">
        <v>16</v>
      </c>
    </row>
    <row r="26" spans="1:15" x14ac:dyDescent="0.5">
      <c r="K26" s="5">
        <v>4</v>
      </c>
      <c r="L26">
        <v>23</v>
      </c>
    </row>
    <row r="27" spans="1:15" x14ac:dyDescent="0.5">
      <c r="K27" s="5">
        <v>5</v>
      </c>
      <c r="L27">
        <v>10</v>
      </c>
    </row>
    <row r="28" spans="1:15" x14ac:dyDescent="0.5">
      <c r="K28" s="5">
        <v>6</v>
      </c>
      <c r="L28">
        <v>22</v>
      </c>
    </row>
    <row r="29" spans="1:15" x14ac:dyDescent="0.5">
      <c r="K29" s="5">
        <v>7</v>
      </c>
      <c r="L29">
        <v>19</v>
      </c>
    </row>
    <row r="30" spans="1:15" x14ac:dyDescent="0.5">
      <c r="K30" s="5">
        <v>8</v>
      </c>
      <c r="L30">
        <v>14</v>
      </c>
    </row>
    <row r="31" spans="1:15" x14ac:dyDescent="0.5">
      <c r="K31" s="5">
        <v>9</v>
      </c>
      <c r="L31">
        <v>19</v>
      </c>
    </row>
    <row r="32" spans="1:15" x14ac:dyDescent="0.5">
      <c r="K32" s="5">
        <v>10</v>
      </c>
      <c r="L32">
        <v>11</v>
      </c>
    </row>
    <row r="33" spans="11:12" x14ac:dyDescent="0.5">
      <c r="K33" s="5" t="s">
        <v>1032</v>
      </c>
    </row>
    <row r="34" spans="11:12" x14ac:dyDescent="0.5">
      <c r="K34" s="5" t="s">
        <v>1030</v>
      </c>
      <c r="L34">
        <v>186</v>
      </c>
    </row>
  </sheetData>
  <mergeCells count="2">
    <mergeCell ref="A11:I11"/>
    <mergeCell ref="A19:E19"/>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F214-135F-4CF2-86A8-C1673BD277A2}">
  <dimension ref="A1:P14"/>
  <sheetViews>
    <sheetView workbookViewId="0">
      <selection activeCell="J4" sqref="J4"/>
    </sheetView>
  </sheetViews>
  <sheetFormatPr defaultRowHeight="18" x14ac:dyDescent="0.5"/>
  <cols>
    <col min="1" max="1" width="14" bestFit="1" customWidth="1"/>
    <col min="2" max="2" width="6.5546875" bestFit="1" customWidth="1"/>
    <col min="3" max="3" width="13.88671875" bestFit="1" customWidth="1"/>
    <col min="4" max="4" width="9.77734375" bestFit="1" customWidth="1"/>
    <col min="5" max="5" width="10.33203125" bestFit="1" customWidth="1"/>
    <col min="6" max="6" width="14" bestFit="1" customWidth="1"/>
    <col min="7" max="7" width="11.33203125" bestFit="1" customWidth="1"/>
    <col min="10" max="10" width="20.109375" bestFit="1" customWidth="1"/>
    <col min="11" max="11" width="17.6640625" bestFit="1" customWidth="1"/>
    <col min="12" max="12" width="4.6640625" bestFit="1" customWidth="1"/>
    <col min="13" max="13" width="7.21875" bestFit="1" customWidth="1"/>
    <col min="14" max="14" width="12.77734375" bestFit="1" customWidth="1"/>
  </cols>
  <sheetData>
    <row r="1" spans="1:16" ht="27" x14ac:dyDescent="0.5">
      <c r="A1" s="23" t="s">
        <v>1059</v>
      </c>
      <c r="B1" s="23"/>
      <c r="C1" s="23"/>
      <c r="D1" s="23"/>
      <c r="E1" s="23"/>
      <c r="F1" s="23"/>
      <c r="G1" s="23"/>
      <c r="J1" s="23" t="s">
        <v>1064</v>
      </c>
      <c r="K1" s="23"/>
      <c r="L1" s="23"/>
      <c r="M1" s="23"/>
      <c r="N1" s="23"/>
      <c r="O1" s="23"/>
      <c r="P1" s="23"/>
    </row>
    <row r="3" spans="1:16" x14ac:dyDescent="0.5">
      <c r="A3" s="4" t="s">
        <v>1028</v>
      </c>
      <c r="B3" t="s">
        <v>1063</v>
      </c>
      <c r="C3" t="s">
        <v>1054</v>
      </c>
      <c r="D3" t="s">
        <v>1062</v>
      </c>
      <c r="E3" t="s">
        <v>1061</v>
      </c>
      <c r="F3" t="s">
        <v>1060</v>
      </c>
      <c r="G3" t="s">
        <v>1052</v>
      </c>
      <c r="J3" s="4" t="s">
        <v>1034</v>
      </c>
      <c r="K3" s="4" t="s">
        <v>1031</v>
      </c>
    </row>
    <row r="4" spans="1:16" x14ac:dyDescent="0.5">
      <c r="A4" s="5" t="s">
        <v>22</v>
      </c>
      <c r="B4">
        <v>188</v>
      </c>
      <c r="F4">
        <v>188</v>
      </c>
      <c r="J4" s="4" t="s">
        <v>1028</v>
      </c>
      <c r="K4" t="s">
        <v>22</v>
      </c>
      <c r="L4" t="s">
        <v>30</v>
      </c>
      <c r="M4" t="s">
        <v>16</v>
      </c>
      <c r="N4" t="s">
        <v>1030</v>
      </c>
    </row>
    <row r="5" spans="1:16" x14ac:dyDescent="0.5">
      <c r="A5" s="5" t="s">
        <v>30</v>
      </c>
      <c r="B5">
        <v>303</v>
      </c>
      <c r="C5">
        <v>303</v>
      </c>
      <c r="D5">
        <v>303</v>
      </c>
      <c r="E5">
        <v>303</v>
      </c>
      <c r="F5">
        <v>303</v>
      </c>
      <c r="G5" s="9">
        <v>4.8736462093862816</v>
      </c>
      <c r="J5" s="5" t="s">
        <v>15</v>
      </c>
      <c r="K5">
        <v>51</v>
      </c>
      <c r="L5">
        <v>80</v>
      </c>
      <c r="M5">
        <v>132</v>
      </c>
      <c r="N5">
        <v>263</v>
      </c>
    </row>
    <row r="6" spans="1:16" x14ac:dyDescent="0.5">
      <c r="A6" s="5" t="s">
        <v>16</v>
      </c>
      <c r="B6">
        <v>509</v>
      </c>
      <c r="C6">
        <v>509</v>
      </c>
      <c r="D6">
        <v>509</v>
      </c>
      <c r="E6">
        <v>509</v>
      </c>
      <c r="F6">
        <v>509</v>
      </c>
      <c r="G6" s="9">
        <v>4.836283185840708</v>
      </c>
      <c r="J6" s="5" t="s">
        <v>32</v>
      </c>
      <c r="K6">
        <v>39</v>
      </c>
      <c r="L6">
        <v>70</v>
      </c>
      <c r="M6">
        <v>103</v>
      </c>
      <c r="N6">
        <v>212</v>
      </c>
    </row>
    <row r="7" spans="1:16" x14ac:dyDescent="0.5">
      <c r="A7" s="5" t="s">
        <v>1030</v>
      </c>
      <c r="B7">
        <v>1000</v>
      </c>
      <c r="C7">
        <v>812</v>
      </c>
      <c r="D7">
        <v>812</v>
      </c>
      <c r="E7">
        <v>812</v>
      </c>
      <c r="F7">
        <v>1000</v>
      </c>
      <c r="G7" s="9">
        <v>4.8504801097393688</v>
      </c>
      <c r="J7" s="5" t="s">
        <v>19</v>
      </c>
      <c r="K7">
        <v>51</v>
      </c>
      <c r="L7">
        <v>70</v>
      </c>
      <c r="M7">
        <v>142</v>
      </c>
      <c r="N7">
        <v>263</v>
      </c>
    </row>
    <row r="8" spans="1:16" x14ac:dyDescent="0.5">
      <c r="J8" s="5" t="s">
        <v>21</v>
      </c>
      <c r="K8">
        <v>47</v>
      </c>
      <c r="L8">
        <v>83</v>
      </c>
      <c r="M8">
        <v>132</v>
      </c>
      <c r="N8">
        <v>262</v>
      </c>
    </row>
    <row r="9" spans="1:16" x14ac:dyDescent="0.5">
      <c r="J9" s="5" t="s">
        <v>1030</v>
      </c>
      <c r="K9">
        <v>188</v>
      </c>
      <c r="L9">
        <v>303</v>
      </c>
      <c r="M9">
        <v>509</v>
      </c>
      <c r="N9">
        <v>1000</v>
      </c>
    </row>
    <row r="10" spans="1:16" x14ac:dyDescent="0.5">
      <c r="A10" s="14" t="s">
        <v>1028</v>
      </c>
      <c r="B10" s="14" t="s">
        <v>1063</v>
      </c>
      <c r="C10" s="14" t="s">
        <v>1054</v>
      </c>
      <c r="D10" s="14" t="s">
        <v>1062</v>
      </c>
      <c r="E10" s="14" t="s">
        <v>1061</v>
      </c>
      <c r="F10" s="14" t="s">
        <v>1060</v>
      </c>
      <c r="G10" s="14" t="s">
        <v>1052</v>
      </c>
    </row>
    <row r="11" spans="1:16" x14ac:dyDescent="0.5">
      <c r="A11" t="str" cm="1">
        <f t="array" ref="A11:G14">A4:G7</f>
        <v>Cold</v>
      </c>
      <c r="B11">
        <v>188</v>
      </c>
      <c r="C11">
        <v>0</v>
      </c>
      <c r="D11">
        <v>0</v>
      </c>
      <c r="E11">
        <v>0</v>
      </c>
      <c r="F11">
        <v>188</v>
      </c>
      <c r="G11" s="9">
        <v>0</v>
      </c>
    </row>
    <row r="12" spans="1:16" x14ac:dyDescent="0.5">
      <c r="A12" t="str">
        <v>Hot</v>
      </c>
      <c r="B12">
        <v>303</v>
      </c>
      <c r="C12">
        <v>303</v>
      </c>
      <c r="D12">
        <v>303</v>
      </c>
      <c r="E12">
        <v>303</v>
      </c>
      <c r="F12">
        <v>303</v>
      </c>
      <c r="G12" s="9">
        <v>4.8736462093862816</v>
      </c>
    </row>
    <row r="13" spans="1:16" x14ac:dyDescent="0.5">
      <c r="A13" t="str">
        <v>Warm</v>
      </c>
      <c r="B13">
        <v>509</v>
      </c>
      <c r="C13">
        <v>509</v>
      </c>
      <c r="D13">
        <v>509</v>
      </c>
      <c r="E13">
        <v>509</v>
      </c>
      <c r="F13">
        <v>509</v>
      </c>
      <c r="G13" s="9">
        <v>4.836283185840708</v>
      </c>
    </row>
    <row r="14" spans="1:16" x14ac:dyDescent="0.5">
      <c r="A14" s="13" t="str">
        <v>Grand Total</v>
      </c>
      <c r="B14">
        <v>1000</v>
      </c>
      <c r="C14">
        <v>812</v>
      </c>
      <c r="D14">
        <v>812</v>
      </c>
      <c r="E14">
        <v>812</v>
      </c>
      <c r="F14">
        <v>1000</v>
      </c>
      <c r="G14" s="9">
        <v>4.8504801097393688</v>
      </c>
    </row>
  </sheetData>
  <mergeCells count="2">
    <mergeCell ref="A1:G1"/>
    <mergeCell ref="J1:P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925F-F70B-40E3-A8F6-D6A1F33FF07D}">
  <dimension ref="A1:H10"/>
  <sheetViews>
    <sheetView workbookViewId="0">
      <selection activeCell="A3" sqref="A3"/>
    </sheetView>
  </sheetViews>
  <sheetFormatPr defaultRowHeight="18" x14ac:dyDescent="0.5"/>
  <cols>
    <col min="1" max="1" width="14" bestFit="1" customWidth="1"/>
    <col min="2" max="2" width="23.33203125" bestFit="1" customWidth="1"/>
    <col min="3" max="3" width="18.33203125" bestFit="1" customWidth="1"/>
    <col min="4" max="4" width="18.21875" bestFit="1" customWidth="1"/>
  </cols>
  <sheetData>
    <row r="1" spans="1:8" ht="23.4" customHeight="1" x14ac:dyDescent="0.5">
      <c r="A1" s="23" t="s">
        <v>1065</v>
      </c>
      <c r="B1" s="23"/>
      <c r="C1" s="23"/>
      <c r="D1" s="23"/>
      <c r="E1" s="17"/>
      <c r="F1" s="17"/>
      <c r="G1" s="17"/>
      <c r="H1" s="17"/>
    </row>
    <row r="3" spans="1:8" x14ac:dyDescent="0.5">
      <c r="A3" s="4" t="s">
        <v>1028</v>
      </c>
      <c r="B3" t="s">
        <v>1066</v>
      </c>
      <c r="C3" t="s">
        <v>1067</v>
      </c>
      <c r="D3" t="s">
        <v>1068</v>
      </c>
    </row>
    <row r="4" spans="1:8" x14ac:dyDescent="0.5">
      <c r="A4" s="5" t="s">
        <v>15</v>
      </c>
      <c r="B4" s="9">
        <v>3.1179245283018866</v>
      </c>
      <c r="C4" s="9">
        <v>3.0330188679245285</v>
      </c>
      <c r="D4" s="9">
        <v>4.5141509433962268</v>
      </c>
    </row>
    <row r="5" spans="1:8" x14ac:dyDescent="0.5">
      <c r="A5" s="5" t="s">
        <v>32</v>
      </c>
      <c r="B5" s="9">
        <v>3.1213872832369942</v>
      </c>
      <c r="C5" s="9">
        <v>3.2023121387283235</v>
      </c>
      <c r="D5" s="9">
        <v>4.3872832369942198</v>
      </c>
    </row>
    <row r="6" spans="1:8" x14ac:dyDescent="0.5">
      <c r="A6" s="5" t="s">
        <v>19</v>
      </c>
      <c r="B6" s="9">
        <v>3.0283018867924527</v>
      </c>
      <c r="C6" s="9">
        <v>3.0188679245283021</v>
      </c>
      <c r="D6" s="9">
        <v>4.283018867924528</v>
      </c>
    </row>
    <row r="7" spans="1:8" x14ac:dyDescent="0.5">
      <c r="A7" s="5" t="s">
        <v>21</v>
      </c>
      <c r="B7" s="9">
        <v>2.9767441860465116</v>
      </c>
      <c r="C7" s="9">
        <v>3.0465116279069768</v>
      </c>
      <c r="D7" s="9">
        <v>4.6279069767441863</v>
      </c>
    </row>
    <row r="8" spans="1:8" x14ac:dyDescent="0.5">
      <c r="A8" s="5" t="s">
        <v>1030</v>
      </c>
      <c r="B8" s="9">
        <v>3.0578817733990147</v>
      </c>
      <c r="C8" s="9">
        <v>3.0689655172413794</v>
      </c>
      <c r="D8" s="9">
        <v>4.4568965517241379</v>
      </c>
    </row>
    <row r="10" spans="1:8" x14ac:dyDescent="0.5">
      <c r="A10" s="15" t="s">
        <v>1069</v>
      </c>
      <c r="B10" s="16">
        <f>SUM(B8:D8)</f>
        <v>10.583743842364532</v>
      </c>
    </row>
  </sheetData>
  <mergeCells count="1">
    <mergeCell ref="A1:D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59CE-2A46-4FB9-A876-B2D55114B7C0}">
  <dimension ref="A1:G20"/>
  <sheetViews>
    <sheetView topLeftCell="A4" workbookViewId="0">
      <selection activeCell="A15" sqref="A15"/>
    </sheetView>
  </sheetViews>
  <sheetFormatPr defaultRowHeight="18" x14ac:dyDescent="0.5"/>
  <cols>
    <col min="1" max="1" width="29.88671875" bestFit="1" customWidth="1"/>
    <col min="2" max="2" width="17.6640625" bestFit="1" customWidth="1"/>
    <col min="3" max="3" width="15.6640625" bestFit="1" customWidth="1"/>
    <col min="4" max="4" width="18.88671875" bestFit="1" customWidth="1"/>
    <col min="5" max="5" width="6.77734375" bestFit="1" customWidth="1"/>
    <col min="6" max="6" width="5.88671875" bestFit="1" customWidth="1"/>
    <col min="7" max="7" width="7.77734375" bestFit="1" customWidth="1"/>
    <col min="8" max="8" width="10.77734375" customWidth="1"/>
  </cols>
  <sheetData>
    <row r="1" spans="1:7" ht="23.4" customHeight="1" x14ac:dyDescent="0.5">
      <c r="A1" s="23" t="s">
        <v>1070</v>
      </c>
      <c r="B1" s="23"/>
      <c r="C1" s="23"/>
      <c r="D1" s="23"/>
      <c r="E1" s="23"/>
      <c r="F1" s="23"/>
      <c r="G1" s="23"/>
    </row>
    <row r="3" spans="1:7" ht="54" x14ac:dyDescent="0.5">
      <c r="A3" s="4" t="s">
        <v>1028</v>
      </c>
      <c r="B3" s="2" t="s">
        <v>1033</v>
      </c>
    </row>
    <row r="4" spans="1:7" x14ac:dyDescent="0.5">
      <c r="A4" s="5" t="s">
        <v>33</v>
      </c>
      <c r="B4">
        <v>51</v>
      </c>
    </row>
    <row r="5" spans="1:7" x14ac:dyDescent="0.5">
      <c r="A5" s="5" t="s">
        <v>63</v>
      </c>
      <c r="B5">
        <v>59</v>
      </c>
    </row>
    <row r="6" spans="1:7" x14ac:dyDescent="0.5">
      <c r="A6" s="5" t="s">
        <v>26</v>
      </c>
      <c r="B6">
        <v>43</v>
      </c>
    </row>
    <row r="7" spans="1:7" x14ac:dyDescent="0.5">
      <c r="A7" s="5" t="s">
        <v>24</v>
      </c>
      <c r="B7">
        <v>57</v>
      </c>
    </row>
    <row r="8" spans="1:7" x14ac:dyDescent="0.5">
      <c r="A8" s="5" t="s">
        <v>101</v>
      </c>
      <c r="B8">
        <v>61</v>
      </c>
    </row>
    <row r="9" spans="1:7" x14ac:dyDescent="0.5">
      <c r="A9" s="5" t="s">
        <v>1030</v>
      </c>
      <c r="B9">
        <v>271</v>
      </c>
    </row>
    <row r="14" spans="1:7" x14ac:dyDescent="0.5">
      <c r="A14" s="4" t="s">
        <v>1033</v>
      </c>
      <c r="B14" s="4" t="s">
        <v>1031</v>
      </c>
    </row>
    <row r="15" spans="1:7" x14ac:dyDescent="0.5">
      <c r="A15" s="4" t="s">
        <v>1028</v>
      </c>
      <c r="B15" t="s">
        <v>33</v>
      </c>
      <c r="C15" t="s">
        <v>63</v>
      </c>
      <c r="D15" t="s">
        <v>26</v>
      </c>
      <c r="E15" t="s">
        <v>24</v>
      </c>
      <c r="F15" t="s">
        <v>101</v>
      </c>
      <c r="G15" t="s">
        <v>1032</v>
      </c>
    </row>
    <row r="16" spans="1:7" x14ac:dyDescent="0.5">
      <c r="A16" s="5" t="s">
        <v>15</v>
      </c>
      <c r="B16">
        <v>13</v>
      </c>
      <c r="C16">
        <v>14</v>
      </c>
      <c r="D16">
        <v>13</v>
      </c>
      <c r="E16">
        <v>22</v>
      </c>
      <c r="F16">
        <v>10</v>
      </c>
    </row>
    <row r="17" spans="1:6" x14ac:dyDescent="0.5">
      <c r="A17" s="5" t="s">
        <v>32</v>
      </c>
      <c r="B17">
        <v>15</v>
      </c>
      <c r="C17">
        <v>10</v>
      </c>
      <c r="D17">
        <v>8</v>
      </c>
      <c r="E17">
        <v>8</v>
      </c>
      <c r="F17">
        <v>18</v>
      </c>
    </row>
    <row r="18" spans="1:6" x14ac:dyDescent="0.5">
      <c r="A18" s="5" t="s">
        <v>19</v>
      </c>
      <c r="B18">
        <v>14</v>
      </c>
      <c r="C18">
        <v>21</v>
      </c>
      <c r="D18">
        <v>13</v>
      </c>
      <c r="E18">
        <v>13</v>
      </c>
      <c r="F18">
        <v>16</v>
      </c>
    </row>
    <row r="19" spans="1:6" x14ac:dyDescent="0.5">
      <c r="A19" s="5" t="s">
        <v>21</v>
      </c>
      <c r="B19">
        <v>9</v>
      </c>
      <c r="C19">
        <v>14</v>
      </c>
      <c r="D19">
        <v>9</v>
      </c>
      <c r="E19">
        <v>14</v>
      </c>
      <c r="F19">
        <v>17</v>
      </c>
    </row>
    <row r="20" spans="1:6" x14ac:dyDescent="0.5">
      <c r="A20" s="5" t="s">
        <v>1030</v>
      </c>
      <c r="B20">
        <v>51</v>
      </c>
      <c r="C20">
        <v>59</v>
      </c>
      <c r="D20">
        <v>43</v>
      </c>
      <c r="E20">
        <v>57</v>
      </c>
      <c r="F20">
        <v>61</v>
      </c>
    </row>
  </sheetData>
  <mergeCells count="1">
    <mergeCell ref="A1:G1"/>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FE8E-1DF5-4327-8D95-FFA2A01A0FBC}">
  <dimension ref="A2:B22"/>
  <sheetViews>
    <sheetView topLeftCell="A7" workbookViewId="0">
      <selection activeCell="A18" sqref="A18"/>
    </sheetView>
  </sheetViews>
  <sheetFormatPr defaultRowHeight="18" x14ac:dyDescent="0.5"/>
  <cols>
    <col min="1" max="1" width="14" bestFit="1" customWidth="1"/>
    <col min="2" max="2" width="21.77734375" bestFit="1" customWidth="1"/>
  </cols>
  <sheetData>
    <row r="2" spans="1:2" x14ac:dyDescent="0.5">
      <c r="A2" s="4" t="s">
        <v>1028</v>
      </c>
      <c r="B2" t="s">
        <v>1048</v>
      </c>
    </row>
    <row r="3" spans="1:2" x14ac:dyDescent="0.5">
      <c r="A3" s="5">
        <v>0</v>
      </c>
      <c r="B3">
        <v>0</v>
      </c>
    </row>
    <row r="4" spans="1:2" x14ac:dyDescent="0.5">
      <c r="A4" s="5">
        <v>1</v>
      </c>
      <c r="B4">
        <v>76</v>
      </c>
    </row>
    <row r="5" spans="1:2" x14ac:dyDescent="0.5">
      <c r="A5" s="5">
        <v>2</v>
      </c>
      <c r="B5">
        <v>166</v>
      </c>
    </row>
    <row r="6" spans="1:2" x14ac:dyDescent="0.5">
      <c r="A6" s="5">
        <v>3</v>
      </c>
      <c r="B6">
        <v>231</v>
      </c>
    </row>
    <row r="7" spans="1:2" x14ac:dyDescent="0.5">
      <c r="A7" s="5">
        <v>4</v>
      </c>
      <c r="B7">
        <v>320</v>
      </c>
    </row>
    <row r="8" spans="1:2" x14ac:dyDescent="0.5">
      <c r="A8" s="5">
        <v>5</v>
      </c>
      <c r="B8">
        <v>310</v>
      </c>
    </row>
    <row r="9" spans="1:2" x14ac:dyDescent="0.5">
      <c r="A9" s="5">
        <v>6</v>
      </c>
      <c r="B9">
        <v>480</v>
      </c>
    </row>
    <row r="10" spans="1:2" x14ac:dyDescent="0.5">
      <c r="A10" s="5">
        <v>7</v>
      </c>
      <c r="B10">
        <v>483</v>
      </c>
    </row>
    <row r="11" spans="1:2" x14ac:dyDescent="0.5">
      <c r="A11" s="5">
        <v>8</v>
      </c>
      <c r="B11">
        <v>496</v>
      </c>
    </row>
    <row r="12" spans="1:2" x14ac:dyDescent="0.5">
      <c r="A12" s="5">
        <v>9</v>
      </c>
      <c r="B12">
        <v>594</v>
      </c>
    </row>
    <row r="13" spans="1:2" x14ac:dyDescent="0.5">
      <c r="A13" s="5">
        <v>10</v>
      </c>
      <c r="B13">
        <v>380</v>
      </c>
    </row>
    <row r="14" spans="1:2" x14ac:dyDescent="0.5">
      <c r="A14" s="5" t="s">
        <v>1074</v>
      </c>
    </row>
    <row r="18" spans="1:2" x14ac:dyDescent="0.5">
      <c r="A18" s="4" t="s">
        <v>1028</v>
      </c>
      <c r="B18" t="s">
        <v>1071</v>
      </c>
    </row>
    <row r="19" spans="1:2" x14ac:dyDescent="0.5">
      <c r="A19" s="5" t="s">
        <v>15</v>
      </c>
      <c r="B19" s="9">
        <v>4.670157068062827</v>
      </c>
    </row>
    <row r="20" spans="1:2" x14ac:dyDescent="0.5">
      <c r="A20" s="5" t="s">
        <v>32</v>
      </c>
      <c r="B20" s="9">
        <v>5.0130718954248366</v>
      </c>
    </row>
    <row r="21" spans="1:2" x14ac:dyDescent="0.5">
      <c r="A21" s="5" t="s">
        <v>19</v>
      </c>
      <c r="B21" s="9">
        <v>4.897849462365591</v>
      </c>
    </row>
    <row r="22" spans="1:2" x14ac:dyDescent="0.5">
      <c r="A22" s="5" t="s">
        <v>21</v>
      </c>
      <c r="B22" s="9">
        <v>4.8542713567839195</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RawData</vt:lpstr>
      <vt:lpstr>FunnelAnalysis</vt:lpstr>
      <vt:lpstr>StoreAnalysis</vt:lpstr>
      <vt:lpstr>LeadTypeAnalysis</vt:lpstr>
      <vt:lpstr>TATAnalysis</vt:lpstr>
      <vt:lpstr>CancellationAnalysis</vt:lpstr>
      <vt:lpstr>Customer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FORCE</dc:creator>
  <cp:lastModifiedBy>G- FORCE</cp:lastModifiedBy>
  <dcterms:created xsi:type="dcterms:W3CDTF">2025-10-29T05:43:00Z</dcterms:created>
  <dcterms:modified xsi:type="dcterms:W3CDTF">2025-10-31T19:56:06Z</dcterms:modified>
</cp:coreProperties>
</file>